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495"/>
  </bookViews>
  <sheets>
    <sheet name="Save the AHV" sheetId="8" r:id="rId1"/>
  </sheets>
  <calcPr calcId="144525"/>
</workbook>
</file>

<file path=xl/sharedStrings.xml><?xml version="1.0" encoding="utf-8"?>
<sst xmlns="http://schemas.openxmlformats.org/spreadsheetml/2006/main" count="148" uniqueCount="141">
  <si>
    <t>Age</t>
  </si>
  <si>
    <t xml:space="preserve">% Active Pop </t>
  </si>
  <si>
    <t xml:space="preserve">Total Pop </t>
  </si>
  <si>
    <t xml:space="preserve">Working Pop </t>
  </si>
  <si>
    <t>Median Income</t>
  </si>
  <si>
    <t>Total Income Year</t>
  </si>
  <si>
    <t>AHV Contribution Constant</t>
  </si>
  <si>
    <t>AHV Contribution Constant ABS</t>
  </si>
  <si>
    <t>AHV Contribution Adaptive</t>
  </si>
  <si>
    <t>AHV Contribution Adaptive ABS</t>
  </si>
  <si>
    <t>Improvement ABS</t>
  </si>
  <si>
    <t>Improvement Relative</t>
  </si>
  <si>
    <t>15 Jahre</t>
  </si>
  <si>
    <t>85 989</t>
  </si>
  <si>
    <t>16 Jahre</t>
  </si>
  <si>
    <t>85 271</t>
  </si>
  <si>
    <t>17 Jahre</t>
  </si>
  <si>
    <t>85 207</t>
  </si>
  <si>
    <t>18 Jahre</t>
  </si>
  <si>
    <t>86 336</t>
  </si>
  <si>
    <t>19 Jahre</t>
  </si>
  <si>
    <t>85 649</t>
  </si>
  <si>
    <t>15 - 19</t>
  </si>
  <si>
    <t>20 Jahre</t>
  </si>
  <si>
    <t>87 411</t>
  </si>
  <si>
    <t>21 Jahre</t>
  </si>
  <si>
    <t>88 400</t>
  </si>
  <si>
    <t>22 Jahre</t>
  </si>
  <si>
    <t>95 264</t>
  </si>
  <si>
    <t>23 Jahre</t>
  </si>
  <si>
    <t>96 840</t>
  </si>
  <si>
    <t>24 Jahre</t>
  </si>
  <si>
    <t>100 177</t>
  </si>
  <si>
    <t>25 Jahre</t>
  </si>
  <si>
    <t>104 202</t>
  </si>
  <si>
    <t>26 Jahre</t>
  </si>
  <si>
    <t>108 578</t>
  </si>
  <si>
    <t>27 Jahre</t>
  </si>
  <si>
    <t>110 398</t>
  </si>
  <si>
    <t>28 Jahre</t>
  </si>
  <si>
    <t>114 066</t>
  </si>
  <si>
    <t>29 Jahre</t>
  </si>
  <si>
    <t>117 867</t>
  </si>
  <si>
    <t>20 - 29</t>
  </si>
  <si>
    <t>30 Jahre</t>
  </si>
  <si>
    <t>123 514</t>
  </si>
  <si>
    <t>31 Jahre</t>
  </si>
  <si>
    <t>125 699</t>
  </si>
  <si>
    <t>32 Jahre</t>
  </si>
  <si>
    <t>128 411</t>
  </si>
  <si>
    <t>33 Jahre</t>
  </si>
  <si>
    <t>127 742</t>
  </si>
  <si>
    <t>34 Jahre</t>
  </si>
  <si>
    <t>129 606</t>
  </si>
  <si>
    <t>35 Jahre</t>
  </si>
  <si>
    <t>126 793</t>
  </si>
  <si>
    <t>36 Jahre</t>
  </si>
  <si>
    <t>127 858</t>
  </si>
  <si>
    <t>37 Jahre</t>
  </si>
  <si>
    <t>127 240</t>
  </si>
  <si>
    <t>38 Jahre</t>
  </si>
  <si>
    <t>127 259</t>
  </si>
  <si>
    <t>39 Jahre</t>
  </si>
  <si>
    <t>125 835</t>
  </si>
  <si>
    <t>30 - 39</t>
  </si>
  <si>
    <t>40 Jahre</t>
  </si>
  <si>
    <t>127 779</t>
  </si>
  <si>
    <t>41 Jahre</t>
  </si>
  <si>
    <t>126 358</t>
  </si>
  <si>
    <t>42 Jahre</t>
  </si>
  <si>
    <t>126 147</t>
  </si>
  <si>
    <t>43 Jahre</t>
  </si>
  <si>
    <t>122 255</t>
  </si>
  <si>
    <t>44 Jahre</t>
  </si>
  <si>
    <t>120 423</t>
  </si>
  <si>
    <t>45 Jahre</t>
  </si>
  <si>
    <t>119 776</t>
  </si>
  <si>
    <t>46 Jahre</t>
  </si>
  <si>
    <t>118 476</t>
  </si>
  <si>
    <t>47 Jahre</t>
  </si>
  <si>
    <t>117 675</t>
  </si>
  <si>
    <t>48 Jahre</t>
  </si>
  <si>
    <t>119 620</t>
  </si>
  <si>
    <t>49 Jahre</t>
  </si>
  <si>
    <t>119 693</t>
  </si>
  <si>
    <t>40 - 49</t>
  </si>
  <si>
    <t>50 Jahre</t>
  </si>
  <si>
    <t>122 578</t>
  </si>
  <si>
    <t>51 Jahre</t>
  </si>
  <si>
    <t>125 588</t>
  </si>
  <si>
    <t>52 Jahre</t>
  </si>
  <si>
    <t>126 539</t>
  </si>
  <si>
    <t>53 Jahre</t>
  </si>
  <si>
    <t>129 356</t>
  </si>
  <si>
    <t>54 Jahre</t>
  </si>
  <si>
    <t>131 157</t>
  </si>
  <si>
    <t>55 Jahre</t>
  </si>
  <si>
    <t>131 579</t>
  </si>
  <si>
    <t>56 Jahre</t>
  </si>
  <si>
    <t>133 066</t>
  </si>
  <si>
    <t>57 Jahre</t>
  </si>
  <si>
    <t>132 924</t>
  </si>
  <si>
    <t>58 Jahre</t>
  </si>
  <si>
    <t>133 788</t>
  </si>
  <si>
    <t>59 Jahre</t>
  </si>
  <si>
    <t>128 598</t>
  </si>
  <si>
    <t>60 Jahre</t>
  </si>
  <si>
    <t>122 357</t>
  </si>
  <si>
    <t>61 Jahre</t>
  </si>
  <si>
    <t>116 788</t>
  </si>
  <si>
    <t>62 Jahre</t>
  </si>
  <si>
    <t>112 550</t>
  </si>
  <si>
    <t>63 Jahre</t>
  </si>
  <si>
    <t>107 867</t>
  </si>
  <si>
    <t>64 Jahre</t>
  </si>
  <si>
    <t>102 452</t>
  </si>
  <si>
    <t>65 Jahre</t>
  </si>
  <si>
    <t>98 481</t>
  </si>
  <si>
    <t>50 - 65</t>
  </si>
  <si>
    <t>66 Jahre</t>
  </si>
  <si>
    <t>94 698</t>
  </si>
  <si>
    <t>67 Jahre</t>
  </si>
  <si>
    <t>90 285</t>
  </si>
  <si>
    <t>68 Jahre</t>
  </si>
  <si>
    <t>87 180</t>
  </si>
  <si>
    <t>69 Jahre</t>
  </si>
  <si>
    <t>83 810</t>
  </si>
  <si>
    <t>70 Jahre</t>
  </si>
  <si>
    <t>82 687</t>
  </si>
  <si>
    <t>71 Jahre</t>
  </si>
  <si>
    <t>79 152</t>
  </si>
  <si>
    <t>72 Jahre</t>
  </si>
  <si>
    <t>80 418</t>
  </si>
  <si>
    <t>73 Jahre</t>
  </si>
  <si>
    <t>78 309</t>
  </si>
  <si>
    <t>74 Jahre</t>
  </si>
  <si>
    <t>78 203</t>
  </si>
  <si>
    <t>66 - 74</t>
  </si>
  <si>
    <t>Total</t>
  </si>
  <si>
    <t>Actual</t>
  </si>
  <si>
    <t>Error</t>
  </si>
</sst>
</file>

<file path=xl/styles.xml><?xml version="1.0" encoding="utf-8"?>
<styleSheet xmlns="http://schemas.openxmlformats.org/spreadsheetml/2006/main">
  <numFmts count="15">
    <numFmt numFmtId="176" formatCode="0.0"/>
    <numFmt numFmtId="177" formatCode="\(\ ###\ ##0.0\)"/>
    <numFmt numFmtId="178" formatCode="0.000E+00"/>
    <numFmt numFmtId="179" formatCode="#&quot; &quot;##0"/>
    <numFmt numFmtId="180" formatCode="0_ "/>
    <numFmt numFmtId="181" formatCode="#,##0.00_ "/>
    <numFmt numFmtId="182" formatCode="_ * #,##0.00_ ;_ * \-#,##0.00_ ;_ * &quot;-&quot;??_ ;_ @_ "/>
    <numFmt numFmtId="183" formatCode="#\ ###\ ##0.0"/>
    <numFmt numFmtId="184" formatCode="0.0%"/>
    <numFmt numFmtId="185" formatCode="#,##0_ "/>
    <numFmt numFmtId="186" formatCode="#\ ###\ ##0"/>
    <numFmt numFmtId="187" formatCode="_ * #,##0_ ;_ * \-#,##0_ ;_ * &quot;-&quot;_ ;_ @_ "/>
    <numFmt numFmtId="44" formatCode="_(&quot;$&quot;* #,##0.00_);_(&quot;$&quot;* \(#,##0.00\);_(&quot;$&quot;* &quot;-&quot;??_);_(@_)"/>
    <numFmt numFmtId="188" formatCode="#&quot; &quot;###&quot; &quot;##0.0__;\-#&quot; &quot;###&quot; &quot;##0.0__;\-__;@__\ "/>
    <numFmt numFmtId="42" formatCode="_(&quot;$&quot;* #,##0_);_(&quot;$&quot;* \(#,##0\);_(&quot;$&quot;* &quot;-&quot;_);_(@_)"/>
  </numFmts>
  <fonts count="31">
    <font>
      <sz val="10"/>
      <name val="Arial"/>
      <charset val="134"/>
    </font>
    <font>
      <sz val="9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sz val="11"/>
      <name val="Calibri"/>
      <charset val="134"/>
      <scheme val="minor"/>
    </font>
    <font>
      <sz val="8"/>
      <name val="Calibri"/>
      <charset val="134"/>
      <scheme val="minor"/>
    </font>
    <font>
      <b/>
      <sz val="9"/>
      <color theme="1"/>
      <name val="Arial"/>
      <charset val="134"/>
    </font>
    <font>
      <b/>
      <sz val="9"/>
      <name val="Arial"/>
      <charset val="134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2"/>
      <name val="Times New Roman"/>
      <charset val="134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Arial"/>
      <charset val="134"/>
    </font>
    <font>
      <sz val="11"/>
      <color theme="0"/>
      <name val="Calibri"/>
      <charset val="0"/>
      <scheme val="minor"/>
    </font>
    <font>
      <sz val="10"/>
      <name val="Helvetica"/>
      <charset val="134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5">
    <xf numFmtId="0" fontId="0" fillId="0" borderId="0"/>
    <xf numFmtId="0" fontId="12" fillId="0" borderId="0"/>
    <xf numFmtId="0" fontId="12" fillId="0" borderId="0"/>
    <xf numFmtId="0" fontId="21" fillId="14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2" fillId="0" borderId="0"/>
    <xf numFmtId="0" fontId="21" fillId="3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2" fillId="0" borderId="0"/>
    <xf numFmtId="0" fontId="21" fillId="30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0" borderId="0"/>
    <xf numFmtId="0" fontId="21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5" borderId="1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5" borderId="15" applyNumberFormat="0" applyFon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187" fontId="8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/>
    <xf numFmtId="0" fontId="24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182" fontId="8" fillId="0" borderId="0" applyFont="0" applyFill="0" applyBorder="0" applyAlignment="0" applyProtection="0">
      <alignment vertical="center"/>
    </xf>
    <xf numFmtId="0" fontId="28" fillId="27" borderId="16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1" fontId="2" fillId="0" borderId="5" xfId="2" applyNumberFormat="1" applyFont="1" applyFill="1" applyBorder="1" applyAlignment="1">
      <alignment horizontal="left" vertical="center"/>
    </xf>
    <xf numFmtId="183" fontId="2" fillId="2" borderId="0" xfId="0" applyNumberFormat="1" applyFont="1" applyFill="1" applyBorder="1" applyAlignment="1">
      <alignment horizontal="right" vertical="center"/>
    </xf>
    <xf numFmtId="181" fontId="2" fillId="0" borderId="0" xfId="0" applyNumberFormat="1" applyFont="1" applyAlignment="1">
      <alignment horizontal="right"/>
    </xf>
    <xf numFmtId="180" fontId="2" fillId="0" borderId="5" xfId="0" applyNumberFormat="1" applyFont="1" applyBorder="1" applyAlignment="1">
      <alignment horizontal="right" wrapText="1"/>
    </xf>
    <xf numFmtId="1" fontId="2" fillId="0" borderId="6" xfId="2" applyNumberFormat="1" applyFont="1" applyFill="1" applyBorder="1" applyAlignment="1">
      <alignment horizontal="left" vertical="center"/>
    </xf>
    <xf numFmtId="183" fontId="2" fillId="2" borderId="7" xfId="0" applyNumberFormat="1" applyFont="1" applyFill="1" applyBorder="1" applyAlignment="1">
      <alignment horizontal="right" vertical="center"/>
    </xf>
    <xf numFmtId="181" fontId="2" fillId="0" borderId="7" xfId="0" applyNumberFormat="1" applyFont="1" applyBorder="1" applyAlignment="1">
      <alignment horizontal="right"/>
    </xf>
    <xf numFmtId="180" fontId="2" fillId="0" borderId="6" xfId="0" applyNumberFormat="1" applyFont="1" applyBorder="1" applyAlignment="1">
      <alignment horizontal="right" wrapText="1"/>
    </xf>
    <xf numFmtId="0" fontId="3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185" fontId="2" fillId="2" borderId="6" xfId="0" applyNumberFormat="1" applyFont="1" applyFill="1" applyBorder="1" applyAlignment="1">
      <alignment horizontal="right" vertical="center"/>
    </xf>
    <xf numFmtId="183" fontId="2" fillId="2" borderId="0" xfId="0" applyNumberFormat="1" applyFont="1" applyFill="1" applyAlignment="1">
      <alignment horizontal="right" vertical="center"/>
    </xf>
    <xf numFmtId="181" fontId="2" fillId="0" borderId="0" xfId="0" applyNumberFormat="1" applyFont="1" applyBorder="1" applyAlignment="1">
      <alignment horizontal="right"/>
    </xf>
    <xf numFmtId="183" fontId="2" fillId="2" borderId="5" xfId="0" applyNumberFormat="1" applyFont="1" applyFill="1" applyBorder="1" applyAlignment="1">
      <alignment horizontal="right" vertical="center"/>
    </xf>
    <xf numFmtId="179" fontId="4" fillId="0" borderId="5" xfId="6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right" vertical="center"/>
    </xf>
    <xf numFmtId="186" fontId="2" fillId="2" borderId="7" xfId="0" applyNumberFormat="1" applyFont="1" applyFill="1" applyBorder="1" applyAlignment="1">
      <alignment horizontal="right" vertical="center"/>
    </xf>
    <xf numFmtId="11" fontId="2" fillId="2" borderId="6" xfId="0" applyNumberFormat="1" applyFont="1" applyFill="1" applyBorder="1" applyAlignment="1">
      <alignment horizontal="right" vertical="center"/>
    </xf>
    <xf numFmtId="184" fontId="2" fillId="2" borderId="7" xfId="53" applyNumberFormat="1" applyFont="1" applyFill="1" applyBorder="1" applyAlignment="1">
      <alignment horizontal="right" vertical="center"/>
    </xf>
    <xf numFmtId="178" fontId="5" fillId="0" borderId="6" xfId="32" applyNumberFormat="1" applyFont="1" applyFill="1" applyBorder="1" applyAlignment="1" applyProtection="1">
      <alignment horizontal="right"/>
    </xf>
    <xf numFmtId="11" fontId="2" fillId="2" borderId="5" xfId="0" applyNumberFormat="1" applyFont="1" applyFill="1" applyBorder="1" applyAlignment="1">
      <alignment horizontal="right" vertical="center"/>
    </xf>
    <xf numFmtId="178" fontId="4" fillId="0" borderId="5" xfId="6" applyNumberFormat="1" applyFont="1" applyFill="1" applyBorder="1" applyAlignment="1">
      <alignment horizontal="center"/>
    </xf>
    <xf numFmtId="178" fontId="2" fillId="2" borderId="5" xfId="0" applyNumberFormat="1" applyFont="1" applyFill="1" applyBorder="1" applyAlignment="1">
      <alignment horizontal="right" vertical="center"/>
    </xf>
    <xf numFmtId="178" fontId="2" fillId="2" borderId="6" xfId="0" applyNumberFormat="1" applyFont="1" applyFill="1" applyBorder="1" applyAlignment="1">
      <alignment horizontal="right" vertical="center"/>
    </xf>
    <xf numFmtId="178" fontId="5" fillId="0" borderId="6" xfId="6" applyNumberFormat="1" applyFont="1" applyFill="1" applyBorder="1" applyAlignment="1">
      <alignment horizontal="right"/>
    </xf>
    <xf numFmtId="186" fontId="2" fillId="2" borderId="0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11" fontId="2" fillId="2" borderId="7" xfId="0" applyNumberFormat="1" applyFont="1" applyFill="1" applyBorder="1" applyAlignment="1">
      <alignment horizontal="right" vertical="center"/>
    </xf>
    <xf numFmtId="10" fontId="2" fillId="0" borderId="6" xfId="53" applyNumberFormat="1" applyFont="1" applyFill="1" applyBorder="1" applyAlignment="1">
      <alignment horizontal="right" vertical="center"/>
    </xf>
    <xf numFmtId="184" fontId="2" fillId="2" borderId="0" xfId="53" applyNumberFormat="1" applyFont="1" applyFill="1" applyBorder="1" applyAlignment="1">
      <alignment horizontal="right" vertical="center"/>
    </xf>
    <xf numFmtId="10" fontId="2" fillId="0" borderId="5" xfId="53" applyNumberFormat="1" applyFont="1" applyFill="1" applyBorder="1" applyAlignment="1">
      <alignment horizontal="right" vertical="center"/>
    </xf>
    <xf numFmtId="184" fontId="2" fillId="2" borderId="0" xfId="53" applyNumberFormat="1" applyFont="1" applyFill="1" applyAlignment="1">
      <alignment horizontal="right" vertical="center"/>
    </xf>
    <xf numFmtId="0" fontId="3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185" fontId="2" fillId="2" borderId="8" xfId="0" applyNumberFormat="1" applyFont="1" applyFill="1" applyBorder="1" applyAlignment="1">
      <alignment horizontal="right" vertical="center"/>
    </xf>
    <xf numFmtId="180" fontId="2" fillId="2" borderId="6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58" fontId="2" fillId="0" borderId="0" xfId="2" applyNumberFormat="1" applyFont="1" applyFill="1" applyBorder="1" applyAlignment="1">
      <alignment horizontal="left" vertical="center"/>
    </xf>
    <xf numFmtId="188" fontId="2" fillId="0" borderId="0" xfId="47" applyNumberFormat="1" applyFont="1" applyFill="1" applyBorder="1" applyAlignment="1">
      <alignment horizontal="right" vertical="center"/>
    </xf>
    <xf numFmtId="0" fontId="2" fillId="2" borderId="0" xfId="1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10" applyFont="1" applyFill="1" applyAlignment="1">
      <alignment horizontal="left" vertical="center"/>
    </xf>
    <xf numFmtId="1" fontId="2" fillId="0" borderId="0" xfId="2" applyNumberFormat="1" applyFont="1" applyFill="1" applyBorder="1" applyAlignment="1">
      <alignment horizontal="left" vertical="center" indent="1"/>
    </xf>
    <xf numFmtId="183" fontId="2" fillId="0" borderId="0" xfId="47" applyNumberFormat="1" applyFont="1" applyFill="1" applyBorder="1" applyAlignment="1">
      <alignment horizontal="right" vertical="center"/>
    </xf>
    <xf numFmtId="183" fontId="2" fillId="0" borderId="0" xfId="0" applyNumberFormat="1" applyFont="1" applyFill="1" applyAlignment="1">
      <alignment horizontal="right" vertical="center"/>
    </xf>
    <xf numFmtId="11" fontId="2" fillId="2" borderId="6" xfId="0" applyNumberFormat="1" applyFont="1" applyFill="1" applyBorder="1" applyAlignment="1">
      <alignment horizontal="left" vertical="center"/>
    </xf>
    <xf numFmtId="178" fontId="2" fillId="2" borderId="6" xfId="0" applyNumberFormat="1" applyFont="1" applyFill="1" applyBorder="1" applyAlignment="1">
      <alignment horizontal="left" vertical="center"/>
    </xf>
    <xf numFmtId="186" fontId="2" fillId="2" borderId="9" xfId="0" applyNumberFormat="1" applyFont="1" applyFill="1" applyBorder="1" applyAlignment="1">
      <alignment horizontal="right" vertical="center"/>
    </xf>
    <xf numFmtId="11" fontId="2" fillId="2" borderId="8" xfId="0" applyNumberFormat="1" applyFont="1" applyFill="1" applyBorder="1" applyAlignment="1">
      <alignment horizontal="right" vertical="center"/>
    </xf>
    <xf numFmtId="184" fontId="2" fillId="2" borderId="9" xfId="53" applyNumberFormat="1" applyFont="1" applyFill="1" applyBorder="1" applyAlignment="1">
      <alignment horizontal="right" vertical="center"/>
    </xf>
    <xf numFmtId="178" fontId="5" fillId="0" borderId="8" xfId="6" applyNumberFormat="1" applyFont="1" applyFill="1" applyBorder="1" applyAlignment="1">
      <alignment horizontal="right"/>
    </xf>
    <xf numFmtId="10" fontId="2" fillId="2" borderId="6" xfId="53" applyNumberFormat="1" applyFont="1" applyFill="1" applyBorder="1" applyAlignment="1">
      <alignment horizontal="right" vertical="center"/>
    </xf>
    <xf numFmtId="184" fontId="2" fillId="2" borderId="7" xfId="53" applyNumberFormat="1" applyFont="1" applyFill="1" applyBorder="1" applyAlignment="1">
      <alignment horizontal="left" vertical="center"/>
    </xf>
    <xf numFmtId="178" fontId="5" fillId="0" borderId="8" xfId="32" applyNumberFormat="1" applyFont="1" applyFill="1" applyBorder="1" applyAlignment="1" applyProtection="1">
      <alignment horizontal="right"/>
    </xf>
    <xf numFmtId="11" fontId="2" fillId="2" borderId="9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183" fontId="2" fillId="0" borderId="0" xfId="0" applyNumberFormat="1" applyFont="1" applyFill="1" applyBorder="1" applyAlignment="1">
      <alignment horizontal="right" vertical="center"/>
    </xf>
    <xf numFmtId="1" fontId="2" fillId="0" borderId="0" xfId="2" applyNumberFormat="1" applyFont="1" applyFill="1" applyBorder="1" applyAlignment="1">
      <alignment vertical="center"/>
    </xf>
    <xf numFmtId="184" fontId="2" fillId="0" borderId="0" xfId="53" applyNumberFormat="1" applyFont="1" applyFill="1" applyBorder="1" applyAlignment="1" applyProtection="1">
      <alignment horizontal="right" vertical="center"/>
    </xf>
    <xf numFmtId="11" fontId="2" fillId="0" borderId="0" xfId="53" applyNumberFormat="1" applyFont="1" applyFill="1" applyBorder="1" applyAlignment="1" applyProtection="1">
      <alignment horizontal="right" vertical="center"/>
    </xf>
    <xf numFmtId="9" fontId="2" fillId="0" borderId="0" xfId="53" applyNumberFormat="1" applyFont="1" applyFill="1" applyBorder="1" applyAlignment="1" applyProtection="1">
      <alignment horizontal="right" vertical="center"/>
    </xf>
    <xf numFmtId="0" fontId="2" fillId="0" borderId="0" xfId="0" applyFont="1" applyFill="1" applyAlignment="1">
      <alignment horizontal="right" vertical="center"/>
    </xf>
    <xf numFmtId="177" fontId="2" fillId="0" borderId="0" xfId="47" applyNumberFormat="1" applyFont="1" applyFill="1" applyBorder="1" applyAlignment="1">
      <alignment horizontal="right" vertical="center"/>
    </xf>
    <xf numFmtId="0" fontId="2" fillId="0" borderId="0" xfId="1" applyNumberFormat="1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58" fontId="2" fillId="3" borderId="0" xfId="2" applyNumberFormat="1" applyFont="1" applyFill="1" applyBorder="1" applyAlignment="1">
      <alignment horizontal="left" vertical="center"/>
    </xf>
    <xf numFmtId="188" fontId="2" fillId="3" borderId="0" xfId="47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76" fontId="2" fillId="0" borderId="0" xfId="47" applyNumberFormat="1" applyFont="1" applyFill="1" applyBorder="1" applyAlignment="1">
      <alignment horizontal="right" vertical="center"/>
    </xf>
    <xf numFmtId="58" fontId="2" fillId="0" borderId="0" xfId="2" applyNumberFormat="1" applyFont="1" applyFill="1" applyBorder="1" applyAlignment="1">
      <alignment horizontal="left" vertical="center" indent="1"/>
    </xf>
    <xf numFmtId="0" fontId="2" fillId="2" borderId="0" xfId="1" applyNumberFormat="1" applyFont="1" applyFill="1" applyBorder="1" applyAlignment="1">
      <alignment horizontal="left" vertical="center"/>
    </xf>
    <xf numFmtId="0" fontId="2" fillId="2" borderId="0" xfId="10" applyFont="1" applyFill="1" applyBorder="1" applyAlignment="1">
      <alignment horizontal="left" vertical="center"/>
    </xf>
  </cellXfs>
  <cellStyles count="55">
    <cellStyle name="Normal" xfId="0" builtinId="0"/>
    <cellStyle name="Standard_je-d-03.01.01.02" xfId="1"/>
    <cellStyle name="Normal_F_02AMI27-37 (b)" xfId="2"/>
    <cellStyle name="60% - Accent6" xfId="3" builtinId="52"/>
    <cellStyle name="40% - Accent6" xfId="4" builtinId="51"/>
    <cellStyle name="60% - Accent5" xfId="5" builtinId="48"/>
    <cellStyle name="Normal_cc-f-03.4.1-A06" xfId="6"/>
    <cellStyle name="Accent6" xfId="7" builtinId="49"/>
    <cellStyle name="40% - Accent5" xfId="8" builtinId="47"/>
    <cellStyle name="20% - Accent5" xfId="9" builtinId="46"/>
    <cellStyle name="Standard_Tabelle1" xfId="10"/>
    <cellStyle name="60% - Accent4" xfId="11" builtinId="44"/>
    <cellStyle name="Accent5" xfId="12" builtinId="45"/>
    <cellStyle name="40% - Accent4" xfId="13" builtinId="43"/>
    <cellStyle name="Accent4" xfId="14" builtinId="41"/>
    <cellStyle name="Linked Cell" xfId="15" builtinId="24"/>
    <cellStyle name="40% - Accent3" xfId="16" builtinId="39"/>
    <cellStyle name="60% - Accent2" xfId="17" builtinId="36"/>
    <cellStyle name="Accent3" xfId="18" builtinId="37"/>
    <cellStyle name="40% - Accent2" xfId="19" builtinId="35"/>
    <cellStyle name="20% - Accent2" xfId="20" builtinId="34"/>
    <cellStyle name="Accent2" xfId="21" builtinId="33"/>
    <cellStyle name="40% - Accent1" xfId="22" builtinId="31"/>
    <cellStyle name="20% - Accent1" xfId="23" builtinId="30"/>
    <cellStyle name="Standard 2" xfId="24"/>
    <cellStyle name="Accent1" xfId="25" builtinId="29"/>
    <cellStyle name="Neutral" xfId="26" builtinId="28"/>
    <cellStyle name="60% - Accent1" xfId="27" builtinId="32"/>
    <cellStyle name="Bad" xfId="28" builtinId="27"/>
    <cellStyle name="20% - Accent4" xfId="29" builtinId="42"/>
    <cellStyle name="Total" xfId="30" builtinId="25"/>
    <cellStyle name="Output" xfId="31" builtinId="21"/>
    <cellStyle name="Currency" xfId="32" builtinId="4"/>
    <cellStyle name="20% - Accent3" xfId="33" builtinId="38"/>
    <cellStyle name="Note" xfId="34" builtinId="10"/>
    <cellStyle name="Input" xfId="35" builtinId="20"/>
    <cellStyle name="Heading 4" xfId="36" builtinId="19"/>
    <cellStyle name="Calculation" xfId="37" builtinId="22"/>
    <cellStyle name="Good" xfId="38" builtinId="26"/>
    <cellStyle name="Heading 3" xfId="39" builtinId="18"/>
    <cellStyle name="CExplanatory Text" xfId="40" builtinId="53"/>
    <cellStyle name="Heading 1" xfId="41" builtinId="16"/>
    <cellStyle name="Comma [0]" xfId="42" builtinId="6"/>
    <cellStyle name="20% - Accent6" xfId="43" builtinId="50"/>
    <cellStyle name="Title" xfId="44" builtinId="15"/>
    <cellStyle name="Currency [0]" xfId="45" builtinId="7"/>
    <cellStyle name="Warning Text" xfId="46" builtinId="11"/>
    <cellStyle name="Normal_HNTA" xfId="47"/>
    <cellStyle name="Followed Hyperlink" xfId="48" builtinId="9"/>
    <cellStyle name="Heading 2" xfId="49" builtinId="17"/>
    <cellStyle name="Comma" xfId="50" builtinId="3"/>
    <cellStyle name="Check Cell" xfId="51" builtinId="23"/>
    <cellStyle name="60% - Accent3" xfId="52" builtinId="40"/>
    <cellStyle name="Percent" xfId="53" builtinId="5"/>
    <cellStyle name="Hyperlink" xfId="54" builtinId="8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>
    <mruColors>
      <color rgb="00E8EAF7"/>
      <color rgb="00CCFFFF"/>
      <color rgb="00FFFF9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AHV Contribution by Age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'Save the AHV'!$C$129</c:f>
              <c:strCache>
                <c:ptCount val="1"/>
                <c:pt idx="0">
                  <c:v>AHV Contribution Constant ABS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'Save the AHV'!$A$130:$A$135</c:f>
              <c:strCache>
                <c:ptCount val="6"/>
                <c:pt idx="0" c:formatCode="0">
                  <c:v>15 - 19</c:v>
                </c:pt>
                <c:pt idx="1" c:formatCode="0">
                  <c:v>20 - 29</c:v>
                </c:pt>
                <c:pt idx="2" c:formatCode="0">
                  <c:v>30 - 39</c:v>
                </c:pt>
                <c:pt idx="3" c:formatCode="0">
                  <c:v>40 - 49</c:v>
                </c:pt>
                <c:pt idx="4" c:formatCode="0">
                  <c:v>50 - 65</c:v>
                </c:pt>
                <c:pt idx="5" c:formatCode="0">
                  <c:v>66 - 74</c:v>
                </c:pt>
              </c:strCache>
            </c:strRef>
          </c:cat>
          <c:val>
            <c:numRef>
              <c:f>'Save the AHV'!$C$130:$C$135</c:f>
              <c:numCache>
                <c:formatCode>0.00E+00</c:formatCode>
                <c:ptCount val="6"/>
                <c:pt idx="0">
                  <c:v>1107459072.179</c:v>
                </c:pt>
                <c:pt idx="1">
                  <c:v>4914168977.66869</c:v>
                </c:pt>
                <c:pt idx="2">
                  <c:v>8213685660.47328</c:v>
                </c:pt>
                <c:pt idx="3">
                  <c:v>8532676155.25282</c:v>
                </c:pt>
                <c:pt idx="4">
                  <c:v>12088861579.173</c:v>
                </c:pt>
                <c:pt idx="5">
                  <c:v>887976759.640018</c:v>
                </c:pt>
              </c:numCache>
            </c:numRef>
          </c:val>
        </c:ser>
        <c:ser>
          <c:idx val="2"/>
          <c:order val="2"/>
          <c:tx>
            <c:strRef>
              <c:f>'Save the AHV'!$E$129</c:f>
              <c:strCache>
                <c:ptCount val="1"/>
                <c:pt idx="0">
                  <c:v>AHV Contribution Adaptive ABS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'Save the AHV'!$A$130:$A$135</c:f>
              <c:strCache>
                <c:ptCount val="6"/>
                <c:pt idx="0" c:formatCode="0">
                  <c:v>15 - 19</c:v>
                </c:pt>
                <c:pt idx="1" c:formatCode="0">
                  <c:v>20 - 29</c:v>
                </c:pt>
                <c:pt idx="2" c:formatCode="0">
                  <c:v>30 - 39</c:v>
                </c:pt>
                <c:pt idx="3" c:formatCode="0">
                  <c:v>40 - 49</c:v>
                </c:pt>
                <c:pt idx="4" c:formatCode="0">
                  <c:v>50 - 65</c:v>
                </c:pt>
                <c:pt idx="5" c:formatCode="0">
                  <c:v>66 - 74</c:v>
                </c:pt>
              </c:strCache>
            </c:strRef>
          </c:cat>
          <c:val>
            <c:numRef>
              <c:f>'Save the AHV'!$E$130:$E$135</c:f>
              <c:numCache>
                <c:formatCode>0.00E+00</c:formatCode>
                <c:ptCount val="6"/>
                <c:pt idx="0">
                  <c:v>1107459072.179</c:v>
                </c:pt>
                <c:pt idx="1">
                  <c:v>4914168977.66869</c:v>
                </c:pt>
                <c:pt idx="2">
                  <c:v>8496916200.4896</c:v>
                </c:pt>
                <c:pt idx="3">
                  <c:v>9317290054.58641</c:v>
                </c:pt>
                <c:pt idx="4">
                  <c:v>13895243194.4517</c:v>
                </c:pt>
                <c:pt idx="5">
                  <c:v>1071696089.22071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83778174"/>
        <c:axId val="18555650"/>
      </c:barChart>
      <c:lineChart>
        <c:grouping val="standard"/>
        <c:varyColors val="0"/>
        <c:ser>
          <c:idx val="1"/>
          <c:order val="1"/>
          <c:tx>
            <c:strRef>
              <c:f>'Save the AHV'!$D$129</c:f>
              <c:strCache>
                <c:ptCount val="1"/>
                <c:pt idx="0">
                  <c:v>AHV Contribution Adaptive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'Save the AHV'!$A$130:$A$135</c:f>
              <c:strCache>
                <c:ptCount val="6"/>
                <c:pt idx="0" c:formatCode="0">
                  <c:v>15 - 19</c:v>
                </c:pt>
                <c:pt idx="1" c:formatCode="0">
                  <c:v>20 - 29</c:v>
                </c:pt>
                <c:pt idx="2" c:formatCode="0">
                  <c:v>30 - 39</c:v>
                </c:pt>
                <c:pt idx="3" c:formatCode="0">
                  <c:v>40 - 49</c:v>
                </c:pt>
                <c:pt idx="4" c:formatCode="0">
                  <c:v>50 - 65</c:v>
                </c:pt>
                <c:pt idx="5" c:formatCode="0">
                  <c:v>66 - 74</c:v>
                </c:pt>
              </c:strCache>
            </c:strRef>
          </c:cat>
          <c:val>
            <c:numRef>
              <c:f>'Save the AHV'!$D$130:$D$135</c:f>
              <c:numCache>
                <c:formatCode>0%</c:formatCode>
                <c:ptCount val="6"/>
                <c:pt idx="0">
                  <c:v>0.087</c:v>
                </c:pt>
                <c:pt idx="1">
                  <c:v>0.087</c:v>
                </c:pt>
                <c:pt idx="2">
                  <c:v>0.09</c:v>
                </c:pt>
                <c:pt idx="3">
                  <c:v>0.095</c:v>
                </c:pt>
                <c:pt idx="4">
                  <c:v>0.1</c:v>
                </c:pt>
                <c:pt idx="5">
                  <c:v>0.105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5835753"/>
        <c:axId val="461769714"/>
      </c:lineChart>
      <c:catAx>
        <c:axId val="4837781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55650"/>
        <c:crosses val="autoZero"/>
        <c:auto val="1"/>
        <c:lblAlgn val="ctr"/>
        <c:lblOffset val="100"/>
        <c:noMultiLvlLbl val="0"/>
      </c:catAx>
      <c:valAx>
        <c:axId val="185556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Absolute Contribution in Mio CHF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&quot; &quot;##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778174"/>
        <c:crosses val="autoZero"/>
        <c:crossBetween val="between"/>
      </c:valAx>
      <c:catAx>
        <c:axId val="82583575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769714"/>
        <c:crosses val="autoZero"/>
        <c:auto val="1"/>
        <c:lblAlgn val="ctr"/>
        <c:lblOffset val="100"/>
        <c:noMultiLvlLbl val="0"/>
      </c:catAx>
      <c:valAx>
        <c:axId val="46176971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Relative Contribution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583575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'Save the AHV'!$F$129</c:f>
              <c:strCache>
                <c:ptCount val="1"/>
                <c:pt idx="0">
                  <c:v>Improvement ABS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'Save the AHV'!$A$130:$A$136</c:f>
              <c:strCache>
                <c:ptCount val="7"/>
                <c:pt idx="0" c:formatCode="0">
                  <c:v>15 - 19</c:v>
                </c:pt>
                <c:pt idx="1" c:formatCode="0">
                  <c:v>20 - 29</c:v>
                </c:pt>
                <c:pt idx="2" c:formatCode="0">
                  <c:v>30 - 39</c:v>
                </c:pt>
                <c:pt idx="3" c:formatCode="0">
                  <c:v>40 - 49</c:v>
                </c:pt>
                <c:pt idx="4" c:formatCode="0">
                  <c:v>50 - 65</c:v>
                </c:pt>
                <c:pt idx="5" c:formatCode="0">
                  <c:v>66 - 74</c:v>
                </c:pt>
                <c:pt idx="6">
                  <c:v>Total</c:v>
                </c:pt>
              </c:strCache>
            </c:strRef>
          </c:cat>
          <c:val>
            <c:numRef>
              <c:f>'Save the AHV'!$F$130:$F$136</c:f>
              <c:numCache>
                <c:formatCode>0.00E+00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283230540.01632</c:v>
                </c:pt>
                <c:pt idx="3">
                  <c:v>784613899.333594</c:v>
                </c:pt>
                <c:pt idx="4">
                  <c:v>1806381615.2787</c:v>
                </c:pt>
                <c:pt idx="5">
                  <c:v>183719329.58069</c:v>
                </c:pt>
                <c:pt idx="6">
                  <c:v>3057945384.2093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944506410"/>
        <c:axId val="778967272"/>
      </c:barChart>
      <c:catAx>
        <c:axId val="94450641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967272"/>
        <c:crosses val="autoZero"/>
        <c:auto val="1"/>
        <c:lblAlgn val="ctr"/>
        <c:lblOffset val="100"/>
        <c:noMultiLvlLbl val="0"/>
      </c:catAx>
      <c:valAx>
        <c:axId val="778967272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45064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240030</xdr:colOff>
      <xdr:row>70</xdr:row>
      <xdr:rowOff>73025</xdr:rowOff>
    </xdr:from>
    <xdr:to>
      <xdr:col>8</xdr:col>
      <xdr:colOff>293370</xdr:colOff>
      <xdr:row>100</xdr:row>
      <xdr:rowOff>80645</xdr:rowOff>
    </xdr:to>
    <xdr:graphicFrame>
      <xdr:nvGraphicFramePr>
        <xdr:cNvPr id="3" name="Chart 2"/>
        <xdr:cNvGraphicFramePr/>
      </xdr:nvGraphicFramePr>
      <xdr:xfrm>
        <a:off x="240030" y="1711325"/>
        <a:ext cx="7568565" cy="496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546100</xdr:colOff>
      <xdr:row>70</xdr:row>
      <xdr:rowOff>82550</xdr:rowOff>
    </xdr:from>
    <xdr:to>
      <xdr:col>11</xdr:col>
      <xdr:colOff>1297305</xdr:colOff>
      <xdr:row>99</xdr:row>
      <xdr:rowOff>129540</xdr:rowOff>
    </xdr:to>
    <xdr:graphicFrame>
      <xdr:nvGraphicFramePr>
        <xdr:cNvPr id="4" name="Chart 3"/>
        <xdr:cNvGraphicFramePr/>
      </xdr:nvGraphicFramePr>
      <xdr:xfrm>
        <a:off x="8061325" y="1720850"/>
        <a:ext cx="4913630" cy="4834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65"/>
  <sheetViews>
    <sheetView showGridLines="0" tabSelected="1" workbookViewId="0">
      <pane ySplit="1" topLeftCell="A2" activePane="bottomLeft" state="frozen"/>
      <selection/>
      <selection pane="bottomLeft" activeCell="I68" sqref="I68"/>
    </sheetView>
  </sheetViews>
  <sheetFormatPr defaultColWidth="11.4571428571429" defaultRowHeight="13" customHeight="1"/>
  <cols>
    <col min="1" max="1" width="7.71428571428571" style="6" customWidth="1"/>
    <col min="2" max="2" width="11.4285714285714" style="6" customWidth="1"/>
    <col min="3" max="3" width="8.57142857142857" style="6" customWidth="1"/>
    <col min="4" max="4" width="11" style="6" customWidth="1"/>
    <col min="5" max="5" width="12.4285714285714" style="6" customWidth="1"/>
    <col min="6" max="6" width="14.8571428571429" style="6" customWidth="1"/>
    <col min="7" max="7" width="21.4285714285714" style="6" customWidth="1"/>
    <col min="8" max="8" width="25.2857142857143" style="6" customWidth="1"/>
    <col min="9" max="9" width="21.1428571428571" style="6" customWidth="1"/>
    <col min="10" max="10" width="25" style="6" customWidth="1"/>
    <col min="11" max="11" width="16.2857142857143" style="7" customWidth="1"/>
    <col min="12" max="12" width="19.5714285714286" style="7" customWidth="1"/>
    <col min="13" max="13" width="17.7333333333333" style="7" customWidth="1"/>
    <col min="14" max="16384" width="11.4571428571429" style="7"/>
  </cols>
  <sheetData>
    <row r="1" s="1" customFormat="1" ht="12" spans="1:12">
      <c r="A1" s="8" t="s">
        <v>0</v>
      </c>
      <c r="B1" s="9" t="s">
        <v>1</v>
      </c>
      <c r="C1" s="10" t="s">
        <v>2</v>
      </c>
      <c r="D1" s="11" t="s">
        <v>3</v>
      </c>
      <c r="E1" s="10" t="s">
        <v>4</v>
      </c>
      <c r="F1" s="11" t="s">
        <v>5</v>
      </c>
      <c r="G1" s="21" t="s">
        <v>6</v>
      </c>
      <c r="H1" s="11" t="s">
        <v>7</v>
      </c>
      <c r="I1" s="27" t="s">
        <v>8</v>
      </c>
      <c r="J1" s="27" t="s">
        <v>9</v>
      </c>
      <c r="K1" s="1" t="s">
        <v>10</v>
      </c>
      <c r="L1" s="38" t="s">
        <v>11</v>
      </c>
    </row>
    <row r="2" s="1" customFormat="1" ht="12" hidden="1" outlineLevel="1" spans="1:12">
      <c r="A2" s="12" t="s">
        <v>12</v>
      </c>
      <c r="B2" s="13">
        <v>25.5001099006551</v>
      </c>
      <c r="C2" s="14" t="s">
        <v>13</v>
      </c>
      <c r="D2" s="15">
        <f>VALUE(SUBSTITUTE(C2," ",""))*B2/100</f>
        <v>21927.2895024743</v>
      </c>
      <c r="E2" s="13"/>
      <c r="F2" s="25"/>
      <c r="H2" s="25"/>
      <c r="I2" s="13"/>
      <c r="J2" s="38"/>
      <c r="L2" s="38"/>
    </row>
    <row r="3" s="2" customFormat="1" ht="14.25" hidden="1" outlineLevel="1" spans="1:12">
      <c r="A3" s="12" t="s">
        <v>14</v>
      </c>
      <c r="B3" s="13">
        <v>51.3134090741946</v>
      </c>
      <c r="C3" s="14" t="s">
        <v>15</v>
      </c>
      <c r="D3" s="15">
        <f>VALUE(SUBSTITUTE(C3," ",""))*B3/100</f>
        <v>43755.4570516565</v>
      </c>
      <c r="E3" s="13"/>
      <c r="F3" s="25"/>
      <c r="H3" s="26"/>
      <c r="I3" s="13"/>
      <c r="J3" s="39"/>
      <c r="L3" s="39"/>
    </row>
    <row r="4" s="2" customFormat="1" hidden="1" customHeight="1" outlineLevel="1" spans="1:12">
      <c r="A4" s="12" t="s">
        <v>16</v>
      </c>
      <c r="B4" s="13">
        <v>61.0637512974249</v>
      </c>
      <c r="C4" s="14" t="s">
        <v>17</v>
      </c>
      <c r="D4" s="15">
        <f>VALUE(SUBSTITUTE(C4," ",""))*B4/100</f>
        <v>52030.5905679969</v>
      </c>
      <c r="E4" s="13"/>
      <c r="F4" s="25"/>
      <c r="H4" s="26"/>
      <c r="I4" s="13"/>
      <c r="J4" s="39"/>
      <c r="L4" s="39"/>
    </row>
    <row r="5" s="2" customFormat="1" hidden="1" customHeight="1" outlineLevel="1" spans="1:12">
      <c r="A5" s="12" t="s">
        <v>18</v>
      </c>
      <c r="B5" s="13">
        <v>65.3729770108136</v>
      </c>
      <c r="C5" s="14" t="s">
        <v>19</v>
      </c>
      <c r="D5" s="15">
        <f>VALUE(SUBSTITUTE(C5," ",""))*B5/100</f>
        <v>56440.413432056</v>
      </c>
      <c r="E5" s="13"/>
      <c r="F5" s="25"/>
      <c r="H5" s="26"/>
      <c r="I5" s="13"/>
      <c r="J5" s="39"/>
      <c r="L5" s="39"/>
    </row>
    <row r="6" s="2" customFormat="1" hidden="1" customHeight="1" outlineLevel="1" spans="1:12">
      <c r="A6" s="16" t="s">
        <v>20</v>
      </c>
      <c r="B6" s="17">
        <v>69.649070954537</v>
      </c>
      <c r="C6" s="18" t="s">
        <v>21</v>
      </c>
      <c r="D6" s="19">
        <f>VALUE(SUBSTITUTE(C6," ",""))*B6/100</f>
        <v>59653.7327818514</v>
      </c>
      <c r="E6" s="21"/>
      <c r="F6" s="27"/>
      <c r="G6" s="21"/>
      <c r="H6" s="27"/>
      <c r="I6" s="21"/>
      <c r="J6" s="27"/>
      <c r="K6" s="21"/>
      <c r="L6" s="27"/>
    </row>
    <row r="7" s="3" customFormat="1" customHeight="1" collapsed="1" spans="1:12">
      <c r="A7" s="20" t="s">
        <v>22</v>
      </c>
      <c r="B7" s="21"/>
      <c r="C7" s="21"/>
      <c r="D7" s="22">
        <f>SUM(D2:D6)</f>
        <v>233807.483336035</v>
      </c>
      <c r="E7" s="28">
        <v>4537</v>
      </c>
      <c r="F7" s="29">
        <f>E7*D7*12</f>
        <v>12729414622.7471</v>
      </c>
      <c r="G7" s="30">
        <v>0.087</v>
      </c>
      <c r="H7" s="31">
        <f>G7*F7</f>
        <v>1107459072.179</v>
      </c>
      <c r="I7" s="30">
        <v>0.087</v>
      </c>
      <c r="J7" s="31">
        <f>I7*F7</f>
        <v>1107459072.179</v>
      </c>
      <c r="K7" s="40">
        <f>J7-H7</f>
        <v>0</v>
      </c>
      <c r="L7" s="41">
        <f>(J7-H7)/H7</f>
        <v>0</v>
      </c>
    </row>
    <row r="8" s="3" customFormat="1" hidden="1" customHeight="1" outlineLevel="1" spans="1:12">
      <c r="A8" s="12" t="s">
        <v>23</v>
      </c>
      <c r="B8" s="13">
        <v>72.3141074895741</v>
      </c>
      <c r="C8" s="14" t="s">
        <v>24</v>
      </c>
      <c r="D8" s="15">
        <f t="shared" ref="D8:D17" si="0">VALUE(SUBSTITUTE(C8," ",""))*B8/100</f>
        <v>63210.4844977116</v>
      </c>
      <c r="E8" s="13"/>
      <c r="F8" s="32"/>
      <c r="H8" s="33"/>
      <c r="I8" s="42"/>
      <c r="J8" s="39"/>
      <c r="L8" s="43"/>
    </row>
    <row r="9" s="3" customFormat="1" hidden="1" customHeight="1" outlineLevel="1" spans="1:12">
      <c r="A9" s="12" t="s">
        <v>25</v>
      </c>
      <c r="B9" s="13">
        <v>73.4332235213249</v>
      </c>
      <c r="C9" s="14" t="s">
        <v>26</v>
      </c>
      <c r="D9" s="15">
        <f t="shared" si="0"/>
        <v>64914.9695928512</v>
      </c>
      <c r="E9" s="13"/>
      <c r="F9" s="32"/>
      <c r="H9" s="33"/>
      <c r="I9" s="42"/>
      <c r="J9" s="39"/>
      <c r="L9" s="43"/>
    </row>
    <row r="10" s="3" customFormat="1" hidden="1" customHeight="1" outlineLevel="1" spans="1:12">
      <c r="A10" s="12" t="s">
        <v>27</v>
      </c>
      <c r="B10" s="13">
        <v>75.8307969140482</v>
      </c>
      <c r="C10" s="14" t="s">
        <v>28</v>
      </c>
      <c r="D10" s="15">
        <f t="shared" si="0"/>
        <v>72239.4503721989</v>
      </c>
      <c r="E10" s="13"/>
      <c r="F10" s="32"/>
      <c r="H10" s="34"/>
      <c r="I10" s="42"/>
      <c r="J10" s="39"/>
      <c r="L10" s="43"/>
    </row>
    <row r="11" s="3" customFormat="1" hidden="1" customHeight="1" outlineLevel="1" spans="1:12">
      <c r="A11" s="12" t="s">
        <v>29</v>
      </c>
      <c r="B11" s="13">
        <v>80.3362344064893</v>
      </c>
      <c r="C11" s="14" t="s">
        <v>30</v>
      </c>
      <c r="D11" s="15">
        <f t="shared" si="0"/>
        <v>77797.6093992442</v>
      </c>
      <c r="E11" s="13"/>
      <c r="F11" s="32"/>
      <c r="H11" s="34"/>
      <c r="I11" s="42"/>
      <c r="J11" s="39"/>
      <c r="L11" s="43"/>
    </row>
    <row r="12" s="3" customFormat="1" hidden="1" customHeight="1" outlineLevel="1" spans="1:12">
      <c r="A12" s="12" t="s">
        <v>31</v>
      </c>
      <c r="B12" s="13">
        <v>83.1322918998839</v>
      </c>
      <c r="C12" s="14" t="s">
        <v>32</v>
      </c>
      <c r="D12" s="15">
        <f t="shared" si="0"/>
        <v>83279.4360565467</v>
      </c>
      <c r="E12" s="13"/>
      <c r="F12" s="32"/>
      <c r="H12" s="34"/>
      <c r="I12" s="42"/>
      <c r="J12" s="39"/>
      <c r="L12" s="43"/>
    </row>
    <row r="13" s="3" customFormat="1" hidden="1" customHeight="1" outlineLevel="1" spans="1:12">
      <c r="A13" s="12" t="s">
        <v>33</v>
      </c>
      <c r="B13" s="13">
        <v>87.0652506083275</v>
      </c>
      <c r="C13" s="14" t="s">
        <v>34</v>
      </c>
      <c r="D13" s="15">
        <f t="shared" si="0"/>
        <v>90723.7324388894</v>
      </c>
      <c r="E13" s="13"/>
      <c r="F13" s="32"/>
      <c r="H13" s="34"/>
      <c r="I13" s="42"/>
      <c r="J13" s="39"/>
      <c r="L13" s="43"/>
    </row>
    <row r="14" s="3" customFormat="1" hidden="1" customHeight="1" outlineLevel="1" spans="1:12">
      <c r="A14" s="12" t="s">
        <v>35</v>
      </c>
      <c r="B14" s="13">
        <v>89.8888833466988</v>
      </c>
      <c r="C14" s="14" t="s">
        <v>36</v>
      </c>
      <c r="D14" s="15">
        <f t="shared" si="0"/>
        <v>97599.5517601786</v>
      </c>
      <c r="E14" s="13"/>
      <c r="F14" s="32"/>
      <c r="H14" s="34"/>
      <c r="I14" s="42"/>
      <c r="J14" s="39"/>
      <c r="L14" s="43"/>
    </row>
    <row r="15" s="3" customFormat="1" hidden="1" customHeight="1" outlineLevel="1" spans="1:12">
      <c r="A15" s="12" t="s">
        <v>37</v>
      </c>
      <c r="B15" s="13">
        <v>91.5993404926152</v>
      </c>
      <c r="C15" s="14" t="s">
        <v>38</v>
      </c>
      <c r="D15" s="15">
        <f t="shared" si="0"/>
        <v>101123.839917037</v>
      </c>
      <c r="E15" s="13"/>
      <c r="F15" s="32"/>
      <c r="H15" s="34"/>
      <c r="I15" s="42"/>
      <c r="J15" s="39"/>
      <c r="L15" s="43"/>
    </row>
    <row r="16" s="3" customFormat="1" hidden="1" customHeight="1" outlineLevel="1" spans="1:12">
      <c r="A16" s="12" t="s">
        <v>39</v>
      </c>
      <c r="B16" s="13">
        <v>92.2669349357478</v>
      </c>
      <c r="C16" s="14" t="s">
        <v>40</v>
      </c>
      <c r="D16" s="15">
        <f t="shared" si="0"/>
        <v>105245.20200381</v>
      </c>
      <c r="E16" s="13"/>
      <c r="F16" s="32"/>
      <c r="H16" s="34"/>
      <c r="I16" s="42"/>
      <c r="J16" s="39"/>
      <c r="L16" s="43"/>
    </row>
    <row r="17" s="3" customFormat="1" hidden="1" customHeight="1" outlineLevel="1" spans="1:12">
      <c r="A17" s="16" t="s">
        <v>41</v>
      </c>
      <c r="B17" s="17">
        <v>91.6472363059416</v>
      </c>
      <c r="C17" s="18" t="s">
        <v>42</v>
      </c>
      <c r="D17" s="19">
        <f t="shared" si="0"/>
        <v>108021.848016724</v>
      </c>
      <c r="E17" s="21"/>
      <c r="F17" s="29"/>
      <c r="G17" s="21"/>
      <c r="H17" s="35"/>
      <c r="I17" s="30"/>
      <c r="J17" s="27"/>
      <c r="K17" s="21"/>
      <c r="L17" s="41"/>
    </row>
    <row r="18" s="3" customFormat="1" customHeight="1" collapsed="1" spans="1:12">
      <c r="A18" s="20" t="s">
        <v>43</v>
      </c>
      <c r="B18" s="21"/>
      <c r="C18" s="21"/>
      <c r="D18" s="22">
        <f>SUM(D8:D17)</f>
        <v>864156.124055192</v>
      </c>
      <c r="E18" s="28">
        <v>5447</v>
      </c>
      <c r="F18" s="29">
        <f>E18*D18*12</f>
        <v>56484700892.7436</v>
      </c>
      <c r="G18" s="30">
        <v>0.087</v>
      </c>
      <c r="H18" s="36">
        <f>G18*F18</f>
        <v>4914168977.66869</v>
      </c>
      <c r="I18" s="30">
        <v>0.087</v>
      </c>
      <c r="J18" s="31">
        <f>I18*F18</f>
        <v>4914168977.66869</v>
      </c>
      <c r="K18" s="40">
        <f>J18-H18</f>
        <v>0</v>
      </c>
      <c r="L18" s="41">
        <f>(J18-H18)/H18</f>
        <v>0</v>
      </c>
    </row>
    <row r="19" s="3" customFormat="1" hidden="1" customHeight="1" outlineLevel="1" spans="1:12">
      <c r="A19" s="12" t="s">
        <v>44</v>
      </c>
      <c r="B19" s="13">
        <v>92.6036321012182</v>
      </c>
      <c r="C19" s="14" t="s">
        <v>45</v>
      </c>
      <c r="D19" s="15">
        <f t="shared" ref="D19:D37" si="1">VALUE(SUBSTITUTE(C19," ",""))*B19/100</f>
        <v>114378.450153499</v>
      </c>
      <c r="E19" s="13"/>
      <c r="F19" s="32"/>
      <c r="H19" s="34"/>
      <c r="I19" s="42"/>
      <c r="J19" s="39"/>
      <c r="L19" s="43"/>
    </row>
    <row r="20" s="3" customFormat="1" hidden="1" customHeight="1" outlineLevel="1" spans="1:12">
      <c r="A20" s="12" t="s">
        <v>46</v>
      </c>
      <c r="B20" s="13">
        <v>92.4114967313141</v>
      </c>
      <c r="C20" s="14" t="s">
        <v>47</v>
      </c>
      <c r="D20" s="15">
        <f t="shared" si="1"/>
        <v>116160.327276294</v>
      </c>
      <c r="E20" s="13"/>
      <c r="F20" s="32"/>
      <c r="H20" s="34"/>
      <c r="I20" s="42"/>
      <c r="J20" s="39"/>
      <c r="L20" s="43"/>
    </row>
    <row r="21" s="3" customFormat="1" hidden="1" customHeight="1" outlineLevel="1" spans="1:12">
      <c r="A21" s="12" t="s">
        <v>48</v>
      </c>
      <c r="B21" s="13">
        <v>91.2166225989542</v>
      </c>
      <c r="C21" s="14" t="s">
        <v>49</v>
      </c>
      <c r="D21" s="15">
        <f t="shared" si="1"/>
        <v>117132.177245543</v>
      </c>
      <c r="E21" s="13"/>
      <c r="F21" s="32"/>
      <c r="H21" s="34"/>
      <c r="I21" s="42"/>
      <c r="J21" s="39"/>
      <c r="L21" s="43"/>
    </row>
    <row r="22" s="3" customFormat="1" hidden="1" customHeight="1" outlineLevel="1" spans="1:12">
      <c r="A22" s="12" t="s">
        <v>50</v>
      </c>
      <c r="B22" s="13">
        <v>91.3761215734364</v>
      </c>
      <c r="C22" s="14" t="s">
        <v>51</v>
      </c>
      <c r="D22" s="15">
        <f t="shared" si="1"/>
        <v>116725.685220339</v>
      </c>
      <c r="E22" s="13"/>
      <c r="F22" s="32"/>
      <c r="H22" s="34"/>
      <c r="I22" s="42"/>
      <c r="J22" s="39"/>
      <c r="L22" s="43"/>
    </row>
    <row r="23" s="3" customFormat="1" hidden="1" customHeight="1" outlineLevel="1" spans="1:12">
      <c r="A23" s="12" t="s">
        <v>52</v>
      </c>
      <c r="B23" s="13">
        <v>92.2313962047873</v>
      </c>
      <c r="C23" s="14" t="s">
        <v>53</v>
      </c>
      <c r="D23" s="15">
        <f t="shared" si="1"/>
        <v>119537.423365177</v>
      </c>
      <c r="E23" s="13"/>
      <c r="F23" s="32"/>
      <c r="H23" s="34"/>
      <c r="I23" s="42"/>
      <c r="J23" s="39"/>
      <c r="L23" s="43"/>
    </row>
    <row r="24" s="3" customFormat="1" hidden="1" customHeight="1" outlineLevel="1" spans="1:12">
      <c r="A24" s="12" t="s">
        <v>54</v>
      </c>
      <c r="B24" s="13">
        <v>91.6217447255192</v>
      </c>
      <c r="C24" s="14" t="s">
        <v>55</v>
      </c>
      <c r="D24" s="15">
        <f t="shared" si="1"/>
        <v>116169.958789828</v>
      </c>
      <c r="E24" s="13"/>
      <c r="F24" s="32"/>
      <c r="H24" s="34"/>
      <c r="I24" s="42"/>
      <c r="J24" s="39"/>
      <c r="L24" s="43"/>
    </row>
    <row r="25" s="3" customFormat="1" hidden="1" customHeight="1" outlineLevel="1" spans="1:12">
      <c r="A25" s="12" t="s">
        <v>56</v>
      </c>
      <c r="B25" s="13">
        <v>90.0125712201474</v>
      </c>
      <c r="C25" s="14" t="s">
        <v>57</v>
      </c>
      <c r="D25" s="15">
        <f t="shared" si="1"/>
        <v>115088.273310656</v>
      </c>
      <c r="E25" s="13"/>
      <c r="F25" s="32"/>
      <c r="H25" s="34"/>
      <c r="I25" s="42"/>
      <c r="J25" s="39"/>
      <c r="L25" s="43"/>
    </row>
    <row r="26" s="3" customFormat="1" hidden="1" customHeight="1" outlineLevel="1" spans="1:12">
      <c r="A26" s="12" t="s">
        <v>58</v>
      </c>
      <c r="B26" s="13">
        <v>90.204976148629</v>
      </c>
      <c r="C26" s="14" t="s">
        <v>59</v>
      </c>
      <c r="D26" s="15">
        <f t="shared" si="1"/>
        <v>114776.811651516</v>
      </c>
      <c r="E26" s="13"/>
      <c r="F26" s="32"/>
      <c r="H26" s="34"/>
      <c r="I26" s="42"/>
      <c r="J26" s="39"/>
      <c r="L26" s="43"/>
    </row>
    <row r="27" s="3" customFormat="1" hidden="1" customHeight="1" outlineLevel="1" spans="1:12">
      <c r="A27" s="12" t="s">
        <v>60</v>
      </c>
      <c r="B27" s="13">
        <v>90.9053908092988</v>
      </c>
      <c r="C27" s="14" t="s">
        <v>61</v>
      </c>
      <c r="D27" s="15">
        <f t="shared" si="1"/>
        <v>115685.291290006</v>
      </c>
      <c r="E27" s="13"/>
      <c r="F27" s="32"/>
      <c r="H27" s="34"/>
      <c r="I27" s="42"/>
      <c r="J27" s="39"/>
      <c r="L27" s="43"/>
    </row>
    <row r="28" s="3" customFormat="1" hidden="1" customHeight="1" outlineLevel="1" spans="1:12">
      <c r="A28" s="16" t="s">
        <v>62</v>
      </c>
      <c r="B28" s="17">
        <v>91.3237334579365</v>
      </c>
      <c r="C28" s="18" t="s">
        <v>63</v>
      </c>
      <c r="D28" s="19">
        <f t="shared" si="1"/>
        <v>114917.219996794</v>
      </c>
      <c r="E28" s="21"/>
      <c r="F28" s="29"/>
      <c r="G28" s="21"/>
      <c r="H28" s="35"/>
      <c r="I28" s="30"/>
      <c r="J28" s="27"/>
      <c r="K28" s="21"/>
      <c r="L28" s="41"/>
    </row>
    <row r="29" s="3" customFormat="1" customHeight="1" collapsed="1" spans="1:12">
      <c r="A29" s="20" t="s">
        <v>64</v>
      </c>
      <c r="B29" s="21"/>
      <c r="C29" s="21"/>
      <c r="D29" s="22">
        <f>SUM(D19:D28)</f>
        <v>1160571.61829965</v>
      </c>
      <c r="E29" s="28">
        <v>6779</v>
      </c>
      <c r="F29" s="29">
        <f>E29*D29*12</f>
        <v>94410180005.44</v>
      </c>
      <c r="G29" s="30">
        <v>0.087</v>
      </c>
      <c r="H29" s="36">
        <f>G29*F29</f>
        <v>8213685660.47328</v>
      </c>
      <c r="I29" s="30">
        <v>0.09</v>
      </c>
      <c r="J29" s="31">
        <f>I29*F29</f>
        <v>8496916200.4896</v>
      </c>
      <c r="K29" s="40">
        <f>J29-H29</f>
        <v>283230540.01632</v>
      </c>
      <c r="L29" s="41">
        <f>(J29-H29)/H29</f>
        <v>0.0344827586206897</v>
      </c>
    </row>
    <row r="30" s="3" customFormat="1" hidden="1" customHeight="1" outlineLevel="1" spans="1:12">
      <c r="A30" s="12" t="s">
        <v>65</v>
      </c>
      <c r="B30" s="13">
        <v>89.6147096905911</v>
      </c>
      <c r="C30" s="14" t="s">
        <v>66</v>
      </c>
      <c r="D30" s="15">
        <f t="shared" ref="D30:D39" si="2">VALUE(SUBSTITUTE(C30," ",""))*B30/100</f>
        <v>114508.77989554</v>
      </c>
      <c r="E30" s="13"/>
      <c r="F30" s="32"/>
      <c r="H30" s="34"/>
      <c r="I30" s="42"/>
      <c r="J30" s="39"/>
      <c r="L30" s="43"/>
    </row>
    <row r="31" s="3" customFormat="1" hidden="1" customHeight="1" outlineLevel="1" spans="1:12">
      <c r="A31" s="12" t="s">
        <v>67</v>
      </c>
      <c r="B31" s="13">
        <v>90.8968337826817</v>
      </c>
      <c r="C31" s="14" t="s">
        <v>68</v>
      </c>
      <c r="D31" s="15">
        <f t="shared" si="2"/>
        <v>114855.421231121</v>
      </c>
      <c r="E31" s="13"/>
      <c r="F31" s="32"/>
      <c r="H31" s="34"/>
      <c r="I31" s="42"/>
      <c r="J31" s="39"/>
      <c r="L31" s="43"/>
    </row>
    <row r="32" s="3" customFormat="1" hidden="1" customHeight="1" outlineLevel="1" spans="1:12">
      <c r="A32" s="12" t="s">
        <v>69</v>
      </c>
      <c r="B32" s="13">
        <v>90.4917970789502</v>
      </c>
      <c r="C32" s="14" t="s">
        <v>70</v>
      </c>
      <c r="D32" s="15">
        <f t="shared" si="2"/>
        <v>114152.687261183</v>
      </c>
      <c r="E32" s="13"/>
      <c r="F32" s="32"/>
      <c r="H32" s="34"/>
      <c r="I32" s="42"/>
      <c r="J32" s="39"/>
      <c r="L32" s="43"/>
    </row>
    <row r="33" s="3" customFormat="1" hidden="1" customHeight="1" outlineLevel="1" spans="1:12">
      <c r="A33" s="12" t="s">
        <v>71</v>
      </c>
      <c r="B33" s="13">
        <v>90.003911985126</v>
      </c>
      <c r="C33" s="14" t="s">
        <v>72</v>
      </c>
      <c r="D33" s="15">
        <f t="shared" si="2"/>
        <v>110034.282597416</v>
      </c>
      <c r="E33" s="13"/>
      <c r="F33" s="32"/>
      <c r="H33" s="34"/>
      <c r="I33" s="42"/>
      <c r="J33" s="39"/>
      <c r="L33" s="43"/>
    </row>
    <row r="34" s="3" customFormat="1" hidden="1" customHeight="1" outlineLevel="1" spans="1:12">
      <c r="A34" s="12" t="s">
        <v>73</v>
      </c>
      <c r="B34" s="13">
        <v>91.0411362391761</v>
      </c>
      <c r="C34" s="14" t="s">
        <v>74</v>
      </c>
      <c r="D34" s="15">
        <f t="shared" si="2"/>
        <v>109634.467493303</v>
      </c>
      <c r="E34" s="13"/>
      <c r="F34" s="32"/>
      <c r="H34" s="34"/>
      <c r="I34" s="42"/>
      <c r="J34" s="39"/>
      <c r="L34" s="43"/>
    </row>
    <row r="35" s="3" customFormat="1" hidden="1" customHeight="1" outlineLevel="1" spans="1:12">
      <c r="A35" s="12" t="s">
        <v>75</v>
      </c>
      <c r="B35" s="13">
        <v>90.4810740924451</v>
      </c>
      <c r="C35" s="14" t="s">
        <v>76</v>
      </c>
      <c r="D35" s="15">
        <f t="shared" si="2"/>
        <v>108374.611304967</v>
      </c>
      <c r="E35" s="13"/>
      <c r="F35" s="32"/>
      <c r="H35" s="34"/>
      <c r="I35" s="42"/>
      <c r="J35" s="39"/>
      <c r="L35" s="43"/>
    </row>
    <row r="36" s="3" customFormat="1" hidden="1" customHeight="1" outlineLevel="1" spans="1:12">
      <c r="A36" s="12" t="s">
        <v>77</v>
      </c>
      <c r="B36" s="13">
        <v>90.0117810459428</v>
      </c>
      <c r="C36" s="14" t="s">
        <v>78</v>
      </c>
      <c r="D36" s="15">
        <f t="shared" si="2"/>
        <v>106642.357711991</v>
      </c>
      <c r="E36" s="13"/>
      <c r="F36" s="32"/>
      <c r="H36" s="34"/>
      <c r="I36" s="42"/>
      <c r="J36" s="39"/>
      <c r="L36" s="43"/>
    </row>
    <row r="37" s="3" customFormat="1" hidden="1" customHeight="1" outlineLevel="1" spans="1:12">
      <c r="A37" s="12" t="s">
        <v>79</v>
      </c>
      <c r="B37" s="13">
        <v>91.1066162770043</v>
      </c>
      <c r="C37" s="14" t="s">
        <v>80</v>
      </c>
      <c r="D37" s="15">
        <f t="shared" si="2"/>
        <v>107209.710703965</v>
      </c>
      <c r="E37" s="13"/>
      <c r="F37" s="32"/>
      <c r="H37" s="34"/>
      <c r="I37" s="42"/>
      <c r="J37" s="39"/>
      <c r="L37" s="43"/>
    </row>
    <row r="38" s="3" customFormat="1" hidden="1" customHeight="1" outlineLevel="1" spans="1:12">
      <c r="A38" s="12" t="s">
        <v>81</v>
      </c>
      <c r="B38" s="13">
        <v>90.7238913596825</v>
      </c>
      <c r="C38" s="14" t="s">
        <v>82</v>
      </c>
      <c r="D38" s="15">
        <f t="shared" si="2"/>
        <v>108523.918844452</v>
      </c>
      <c r="E38" s="13"/>
      <c r="F38" s="32"/>
      <c r="H38" s="34"/>
      <c r="I38" s="42"/>
      <c r="J38" s="39"/>
      <c r="L38" s="43"/>
    </row>
    <row r="39" s="3" customFormat="1" hidden="1" customHeight="1" outlineLevel="1" spans="1:12">
      <c r="A39" s="16" t="s">
        <v>83</v>
      </c>
      <c r="B39" s="17">
        <v>90.4792005795387</v>
      </c>
      <c r="C39" s="18" t="s">
        <v>84</v>
      </c>
      <c r="D39" s="19">
        <f t="shared" si="2"/>
        <v>108297.269549667</v>
      </c>
      <c r="E39" s="21"/>
      <c r="F39" s="29"/>
      <c r="G39" s="21"/>
      <c r="H39" s="35"/>
      <c r="I39" s="30"/>
      <c r="J39" s="27"/>
      <c r="K39" s="21"/>
      <c r="L39" s="41"/>
    </row>
    <row r="40" s="3" customFormat="1" customHeight="1" collapsed="1" spans="1:12">
      <c r="A40" s="20" t="s">
        <v>85</v>
      </c>
      <c r="B40" s="21"/>
      <c r="C40" s="21"/>
      <c r="D40" s="22">
        <f>SUM(D30:D39)</f>
        <v>1102233.50659361</v>
      </c>
      <c r="E40" s="28">
        <v>7415</v>
      </c>
      <c r="F40" s="29">
        <f>E40*D40*12</f>
        <v>98076737416.6991</v>
      </c>
      <c r="G40" s="30">
        <v>0.087</v>
      </c>
      <c r="H40" s="36">
        <f>G40*F40</f>
        <v>8532676155.25282</v>
      </c>
      <c r="I40" s="30">
        <v>0.095</v>
      </c>
      <c r="J40" s="31">
        <f>I40*F40</f>
        <v>9317290054.58641</v>
      </c>
      <c r="K40" s="40">
        <f>J40-H40</f>
        <v>784613899.333594</v>
      </c>
      <c r="L40" s="41">
        <f>(J40-H40)/H40</f>
        <v>0.0919540229885059</v>
      </c>
    </row>
    <row r="41" s="3" customFormat="1" hidden="1" customHeight="1" outlineLevel="1" spans="1:12">
      <c r="A41" s="12" t="s">
        <v>86</v>
      </c>
      <c r="B41" s="23">
        <v>90.7452880880511</v>
      </c>
      <c r="C41" s="14" t="s">
        <v>87</v>
      </c>
      <c r="D41" s="15">
        <f t="shared" ref="D41:D65" si="3">VALUE(SUBSTITUTE(C41," ",""))*B41/100</f>
        <v>111233.759232571</v>
      </c>
      <c r="E41" s="23"/>
      <c r="F41" s="32"/>
      <c r="H41" s="34"/>
      <c r="I41" s="44"/>
      <c r="J41" s="39"/>
      <c r="L41" s="43"/>
    </row>
    <row r="42" s="3" customFormat="1" hidden="1" customHeight="1" outlineLevel="1" spans="1:12">
      <c r="A42" s="12" t="s">
        <v>88</v>
      </c>
      <c r="B42" s="23">
        <v>89.5726385230852</v>
      </c>
      <c r="C42" s="14" t="s">
        <v>89</v>
      </c>
      <c r="D42" s="15">
        <f t="shared" si="3"/>
        <v>112492.485268372</v>
      </c>
      <c r="E42" s="23"/>
      <c r="F42" s="32"/>
      <c r="H42" s="34"/>
      <c r="I42" s="44"/>
      <c r="J42" s="39"/>
      <c r="L42" s="43"/>
    </row>
    <row r="43" s="3" customFormat="1" hidden="1" customHeight="1" outlineLevel="1" spans="1:12">
      <c r="A43" s="12" t="s">
        <v>90</v>
      </c>
      <c r="B43" s="23">
        <v>89.2979406770088</v>
      </c>
      <c r="C43" s="14" t="s">
        <v>91</v>
      </c>
      <c r="D43" s="15">
        <f t="shared" si="3"/>
        <v>112996.72115328</v>
      </c>
      <c r="E43" s="23"/>
      <c r="F43" s="32"/>
      <c r="H43" s="34"/>
      <c r="I43" s="44"/>
      <c r="J43" s="39"/>
      <c r="L43" s="43"/>
    </row>
    <row r="44" s="3" customFormat="1" hidden="1" customHeight="1" outlineLevel="1" spans="1:12">
      <c r="A44" s="12" t="s">
        <v>92</v>
      </c>
      <c r="B44" s="23">
        <v>89.1529959986007</v>
      </c>
      <c r="C44" s="14" t="s">
        <v>93</v>
      </c>
      <c r="D44" s="15">
        <f t="shared" si="3"/>
        <v>115324.74950395</v>
      </c>
      <c r="E44" s="23"/>
      <c r="F44" s="32"/>
      <c r="H44" s="34"/>
      <c r="I44" s="44"/>
      <c r="J44" s="39"/>
      <c r="L44" s="43"/>
    </row>
    <row r="45" s="3" customFormat="1" hidden="1" customHeight="1" outlineLevel="1" spans="1:12">
      <c r="A45" s="12" t="s">
        <v>94</v>
      </c>
      <c r="B45" s="23">
        <v>87.5905203074353</v>
      </c>
      <c r="C45" s="14" t="s">
        <v>95</v>
      </c>
      <c r="D45" s="15">
        <f t="shared" si="3"/>
        <v>114881.098719623</v>
      </c>
      <c r="E45" s="23"/>
      <c r="F45" s="32"/>
      <c r="H45" s="34"/>
      <c r="I45" s="44"/>
      <c r="J45" s="39"/>
      <c r="L45" s="43"/>
    </row>
    <row r="46" s="3" customFormat="1" hidden="1" customHeight="1" outlineLevel="1" spans="1:12">
      <c r="A46" s="12" t="s">
        <v>96</v>
      </c>
      <c r="B46" s="23">
        <v>87.4082403537205</v>
      </c>
      <c r="C46" s="14" t="s">
        <v>97</v>
      </c>
      <c r="D46" s="15">
        <f t="shared" si="3"/>
        <v>115010.888575022</v>
      </c>
      <c r="E46" s="23"/>
      <c r="F46" s="32"/>
      <c r="H46" s="34"/>
      <c r="I46" s="44"/>
      <c r="J46" s="39"/>
      <c r="L46" s="43"/>
    </row>
    <row r="47" s="3" customFormat="1" hidden="1" customHeight="1" outlineLevel="1" spans="1:12">
      <c r="A47" s="12" t="s">
        <v>98</v>
      </c>
      <c r="B47" s="23">
        <v>86.21452408095</v>
      </c>
      <c r="C47" s="14" t="s">
        <v>99</v>
      </c>
      <c r="D47" s="15">
        <f t="shared" si="3"/>
        <v>114722.218613557</v>
      </c>
      <c r="E47" s="23"/>
      <c r="F47" s="32"/>
      <c r="H47" s="34"/>
      <c r="I47" s="44"/>
      <c r="J47" s="39"/>
      <c r="L47" s="43"/>
    </row>
    <row r="48" s="3" customFormat="1" hidden="1" customHeight="1" outlineLevel="1" spans="1:12">
      <c r="A48" s="12" t="s">
        <v>100</v>
      </c>
      <c r="B48" s="23">
        <v>85.576506438161</v>
      </c>
      <c r="C48" s="14" t="s">
        <v>101</v>
      </c>
      <c r="D48" s="15">
        <f t="shared" si="3"/>
        <v>113751.715417861</v>
      </c>
      <c r="E48" s="23"/>
      <c r="F48" s="32"/>
      <c r="H48" s="34"/>
      <c r="I48" s="44"/>
      <c r="J48" s="39"/>
      <c r="L48" s="43"/>
    </row>
    <row r="49" s="3" customFormat="1" hidden="1" customHeight="1" outlineLevel="1" spans="1:12">
      <c r="A49" s="12" t="s">
        <v>102</v>
      </c>
      <c r="B49" s="23">
        <v>84.6457096212732</v>
      </c>
      <c r="C49" s="14" t="s">
        <v>103</v>
      </c>
      <c r="D49" s="15">
        <f t="shared" si="3"/>
        <v>113245.801988109</v>
      </c>
      <c r="E49" s="23"/>
      <c r="F49" s="32"/>
      <c r="H49" s="34"/>
      <c r="I49" s="44"/>
      <c r="J49" s="39"/>
      <c r="L49" s="43"/>
    </row>
    <row r="50" s="3" customFormat="1" hidden="1" customHeight="1" outlineLevel="1" spans="1:12">
      <c r="A50" s="12" t="s">
        <v>104</v>
      </c>
      <c r="B50" s="13">
        <v>82.5799052023332</v>
      </c>
      <c r="C50" s="24" t="s">
        <v>105</v>
      </c>
      <c r="D50" s="15">
        <f t="shared" si="3"/>
        <v>106196.106492096</v>
      </c>
      <c r="F50" s="32"/>
      <c r="H50" s="34"/>
      <c r="I50" s="42"/>
      <c r="J50" s="39"/>
      <c r="L50" s="43"/>
    </row>
    <row r="51" s="3" customFormat="1" hidden="1" customHeight="1" outlineLevel="1" spans="1:12">
      <c r="A51" s="12" t="s">
        <v>106</v>
      </c>
      <c r="B51" s="23">
        <v>78.8979528034928</v>
      </c>
      <c r="C51" s="14" t="s">
        <v>107</v>
      </c>
      <c r="D51" s="15">
        <f t="shared" si="3"/>
        <v>96537.1681117697</v>
      </c>
      <c r="E51" s="23"/>
      <c r="F51" s="32"/>
      <c r="H51" s="34"/>
      <c r="I51" s="44"/>
      <c r="J51" s="39"/>
      <c r="L51" s="43"/>
    </row>
    <row r="52" s="3" customFormat="1" hidden="1" customHeight="1" outlineLevel="1" spans="1:12">
      <c r="A52" s="12" t="s">
        <v>108</v>
      </c>
      <c r="B52" s="23">
        <v>76.4509723009447</v>
      </c>
      <c r="C52" s="14" t="s">
        <v>109</v>
      </c>
      <c r="D52" s="15">
        <f t="shared" si="3"/>
        <v>89285.5615308273</v>
      </c>
      <c r="E52" s="23"/>
      <c r="F52" s="32"/>
      <c r="H52" s="34"/>
      <c r="I52" s="44"/>
      <c r="J52" s="39"/>
      <c r="L52" s="43"/>
    </row>
    <row r="53" s="3" customFormat="1" hidden="1" customHeight="1" outlineLevel="1" spans="1:12">
      <c r="A53" s="12" t="s">
        <v>110</v>
      </c>
      <c r="B53" s="23">
        <v>69.4549530788105</v>
      </c>
      <c r="C53" s="14" t="s">
        <v>111</v>
      </c>
      <c r="D53" s="15">
        <f t="shared" si="3"/>
        <v>78171.5496902012</v>
      </c>
      <c r="E53" s="23"/>
      <c r="F53" s="32"/>
      <c r="H53" s="34"/>
      <c r="I53" s="44"/>
      <c r="J53" s="39"/>
      <c r="L53" s="43"/>
    </row>
    <row r="54" s="3" customFormat="1" hidden="1" customHeight="1" outlineLevel="1" spans="1:12">
      <c r="A54" s="12" t="s">
        <v>112</v>
      </c>
      <c r="B54" s="23">
        <v>60.0617377275447</v>
      </c>
      <c r="C54" s="14" t="s">
        <v>113</v>
      </c>
      <c r="D54" s="15">
        <f t="shared" si="3"/>
        <v>64786.7946345707</v>
      </c>
      <c r="E54" s="23"/>
      <c r="F54" s="32"/>
      <c r="H54" s="34"/>
      <c r="I54" s="44"/>
      <c r="J54" s="39"/>
      <c r="L54" s="43"/>
    </row>
    <row r="55" s="3" customFormat="1" hidden="1" customHeight="1" outlineLevel="1" spans="1:12">
      <c r="A55" s="12" t="s">
        <v>114</v>
      </c>
      <c r="B55" s="23">
        <v>44.0719695806302</v>
      </c>
      <c r="C55" s="14" t="s">
        <v>115</v>
      </c>
      <c r="D55" s="15">
        <f t="shared" si="3"/>
        <v>45152.6142747473</v>
      </c>
      <c r="E55" s="23"/>
      <c r="F55" s="32"/>
      <c r="H55" s="34"/>
      <c r="I55" s="44"/>
      <c r="J55" s="39"/>
      <c r="L55" s="43"/>
    </row>
    <row r="56" s="3" customFormat="1" hidden="1" customHeight="1" outlineLevel="1" spans="1:12">
      <c r="A56" s="16" t="s">
        <v>116</v>
      </c>
      <c r="B56" s="17">
        <v>27.2753542036758</v>
      </c>
      <c r="C56" s="18" t="s">
        <v>117</v>
      </c>
      <c r="D56" s="19">
        <f t="shared" si="3"/>
        <v>26861.041573322</v>
      </c>
      <c r="E56" s="21"/>
      <c r="F56" s="29"/>
      <c r="G56" s="21"/>
      <c r="H56" s="35"/>
      <c r="I56" s="30"/>
      <c r="J56" s="27"/>
      <c r="K56" s="21"/>
      <c r="L56" s="41"/>
    </row>
    <row r="57" s="3" customFormat="1" customHeight="1" collapsed="1" spans="1:12">
      <c r="A57" s="20" t="s">
        <v>118</v>
      </c>
      <c r="B57" s="21"/>
      <c r="C57" s="21"/>
      <c r="D57" s="22">
        <f>SUM(D41:D56)</f>
        <v>1530650.27477988</v>
      </c>
      <c r="E57" s="28">
        <v>7565</v>
      </c>
      <c r="F57" s="29">
        <f>E57*D57*12</f>
        <v>138952431944.517</v>
      </c>
      <c r="G57" s="30">
        <v>0.087</v>
      </c>
      <c r="H57" s="36">
        <f>G57*F57</f>
        <v>12088861579.173</v>
      </c>
      <c r="I57" s="30">
        <v>0.1</v>
      </c>
      <c r="J57" s="31">
        <f>I57*F57</f>
        <v>13895243194.4517</v>
      </c>
      <c r="K57" s="40">
        <f>J57-H57</f>
        <v>1806381615.2787</v>
      </c>
      <c r="L57" s="41">
        <f>(J57-H57)/H57</f>
        <v>0.14942528735632</v>
      </c>
    </row>
    <row r="58" s="3" customFormat="1" hidden="1" customHeight="1" outlineLevel="1" spans="1:12">
      <c r="A58" s="12" t="s">
        <v>119</v>
      </c>
      <c r="B58" s="23">
        <v>24.3917794623654</v>
      </c>
      <c r="C58" s="14" t="s">
        <v>120</v>
      </c>
      <c r="D58" s="15">
        <f t="shared" ref="D58:D66" si="4">VALUE(SUBSTITUTE(C58," ",""))*B58/100</f>
        <v>23098.5273152707</v>
      </c>
      <c r="E58" s="23"/>
      <c r="F58" s="32"/>
      <c r="H58" s="34"/>
      <c r="I58" s="44"/>
      <c r="J58" s="39"/>
      <c r="L58" s="43"/>
    </row>
    <row r="59" s="3" customFormat="1" hidden="1" customHeight="1" outlineLevel="1" spans="1:12">
      <c r="A59" s="12" t="s">
        <v>121</v>
      </c>
      <c r="B59" s="23">
        <v>22.5375692430221</v>
      </c>
      <c r="C59" s="14" t="s">
        <v>122</v>
      </c>
      <c r="D59" s="15">
        <f t="shared" si="4"/>
        <v>20348.0443910625</v>
      </c>
      <c r="E59" s="23"/>
      <c r="F59" s="32"/>
      <c r="H59" s="34"/>
      <c r="I59" s="44"/>
      <c r="J59" s="39"/>
      <c r="L59" s="43"/>
    </row>
    <row r="60" s="3" customFormat="1" hidden="1" customHeight="1" outlineLevel="1" spans="1:12">
      <c r="A60" s="12" t="s">
        <v>123</v>
      </c>
      <c r="B60" s="23">
        <v>21.1200296421514</v>
      </c>
      <c r="C60" s="14" t="s">
        <v>124</v>
      </c>
      <c r="D60" s="15">
        <f t="shared" si="4"/>
        <v>18412.4418420276</v>
      </c>
      <c r="E60" s="23"/>
      <c r="F60" s="32"/>
      <c r="H60" s="34"/>
      <c r="I60" s="44"/>
      <c r="J60" s="39"/>
      <c r="L60" s="43"/>
    </row>
    <row r="61" s="3" customFormat="1" hidden="1" customHeight="1" outlineLevel="1" spans="1:12">
      <c r="A61" s="12" t="s">
        <v>125</v>
      </c>
      <c r="B61" s="13">
        <v>16.9605856233572</v>
      </c>
      <c r="C61" s="24" t="s">
        <v>126</v>
      </c>
      <c r="D61" s="15">
        <f t="shared" si="4"/>
        <v>14214.6668109357</v>
      </c>
      <c r="E61" s="37"/>
      <c r="F61" s="32"/>
      <c r="H61" s="34"/>
      <c r="I61" s="42"/>
      <c r="J61" s="39"/>
      <c r="L61" s="43"/>
    </row>
    <row r="62" s="3" customFormat="1" hidden="1" customHeight="1" outlineLevel="1" spans="1:12">
      <c r="A62" s="12" t="s">
        <v>127</v>
      </c>
      <c r="B62" s="23">
        <v>13.9847493767033</v>
      </c>
      <c r="C62" s="14" t="s">
        <v>128</v>
      </c>
      <c r="D62" s="15">
        <f t="shared" si="4"/>
        <v>11563.5697171147</v>
      </c>
      <c r="E62" s="23"/>
      <c r="F62" s="32"/>
      <c r="H62" s="34"/>
      <c r="I62" s="44"/>
      <c r="J62" s="39"/>
      <c r="L62" s="43"/>
    </row>
    <row r="63" s="3" customFormat="1" hidden="1" customHeight="1" outlineLevel="1" spans="1:12">
      <c r="A63" s="12" t="s">
        <v>129</v>
      </c>
      <c r="B63" s="23">
        <v>12.3746979313649</v>
      </c>
      <c r="C63" s="14" t="s">
        <v>130</v>
      </c>
      <c r="D63" s="15">
        <f t="shared" si="4"/>
        <v>9794.82090663396</v>
      </c>
      <c r="E63" s="23"/>
      <c r="F63" s="32"/>
      <c r="H63" s="34"/>
      <c r="I63" s="44"/>
      <c r="J63" s="39"/>
      <c r="L63" s="43"/>
    </row>
    <row r="64" s="3" customFormat="1" hidden="1" customHeight="1" outlineLevel="1" spans="1:12">
      <c r="A64" s="12" t="s">
        <v>131</v>
      </c>
      <c r="B64" s="23">
        <v>11.5393311073659</v>
      </c>
      <c r="C64" s="14" t="s">
        <v>132</v>
      </c>
      <c r="D64" s="15">
        <f t="shared" si="4"/>
        <v>9279.6992899215</v>
      </c>
      <c r="E64" s="23"/>
      <c r="F64" s="32"/>
      <c r="H64" s="34"/>
      <c r="I64" s="44"/>
      <c r="J64" s="39"/>
      <c r="L64" s="43"/>
    </row>
    <row r="65" s="3" customFormat="1" hidden="1" customHeight="1" outlineLevel="1" spans="1:12">
      <c r="A65" s="12" t="s">
        <v>133</v>
      </c>
      <c r="B65" s="23">
        <v>11.7373096689625</v>
      </c>
      <c r="C65" s="14" t="s">
        <v>134</v>
      </c>
      <c r="D65" s="15">
        <f t="shared" si="4"/>
        <v>9191.36982866786</v>
      </c>
      <c r="E65" s="13"/>
      <c r="F65" s="32"/>
      <c r="H65" s="34"/>
      <c r="I65" s="42"/>
      <c r="J65" s="39"/>
      <c r="L65" s="43"/>
    </row>
    <row r="66" s="4" customFormat="1" hidden="1" customHeight="1" outlineLevel="1" spans="1:12">
      <c r="A66" s="16" t="s">
        <v>135</v>
      </c>
      <c r="B66" s="17">
        <v>10.9405113151464</v>
      </c>
      <c r="C66" s="18" t="s">
        <v>136</v>
      </c>
      <c r="D66" s="19">
        <f t="shared" si="4"/>
        <v>8555.80806378391</v>
      </c>
      <c r="E66" s="49"/>
      <c r="F66" s="61"/>
      <c r="G66" s="49"/>
      <c r="H66" s="62"/>
      <c r="I66" s="68"/>
      <c r="J66" s="50"/>
      <c r="K66" s="21"/>
      <c r="L66" s="41"/>
    </row>
    <row r="67" s="4" customFormat="1" customHeight="1" collapsed="1" spans="1:12">
      <c r="A67" s="45" t="s">
        <v>137</v>
      </c>
      <c r="B67" s="46"/>
      <c r="C67" s="46"/>
      <c r="D67" s="47">
        <f>SUM(D58:D66)</f>
        <v>124458.948165418</v>
      </c>
      <c r="E67" s="63">
        <v>6834</v>
      </c>
      <c r="F67" s="64">
        <f>E67*D67*12</f>
        <v>10206629421.1496</v>
      </c>
      <c r="G67" s="65">
        <v>0.087</v>
      </c>
      <c r="H67" s="66">
        <f>G67*F67</f>
        <v>887976759.640018</v>
      </c>
      <c r="I67" s="65">
        <v>0.105</v>
      </c>
      <c r="J67" s="69">
        <f>I67*F67</f>
        <v>1071696089.22071</v>
      </c>
      <c r="K67" s="70">
        <f>J67-H67</f>
        <v>183719329.58069</v>
      </c>
      <c r="L67" s="41">
        <f>(J67-H67)/H67</f>
        <v>0.206896551724134</v>
      </c>
    </row>
    <row r="68" s="4" customFormat="1" customHeight="1" spans="1:12">
      <c r="A68" s="20" t="s">
        <v>138</v>
      </c>
      <c r="B68" s="21"/>
      <c r="C68" s="21"/>
      <c r="D68" s="48">
        <f>SUM(D67,D57,D40,D29,D18,D7)</f>
        <v>5015877.95522978</v>
      </c>
      <c r="E68" s="21"/>
      <c r="F68" s="29">
        <f t="shared" ref="F68:J68" si="5">SUM(F67,F57,F40,F29,F18,F7)</f>
        <v>410860094303.296</v>
      </c>
      <c r="G68" s="21"/>
      <c r="H68" s="35">
        <f t="shared" si="5"/>
        <v>35744828204.3868</v>
      </c>
      <c r="I68" s="71"/>
      <c r="J68" s="35">
        <f t="shared" si="5"/>
        <v>38802773588.5961</v>
      </c>
      <c r="K68" s="40">
        <f>J68-H68</f>
        <v>3057945384.2093</v>
      </c>
      <c r="L68" s="41">
        <f>(J68-H68)/H68</f>
        <v>0.0855493098672668</v>
      </c>
    </row>
    <row r="69" s="4" customFormat="1" customHeight="1" spans="1:11">
      <c r="A69" s="20" t="s">
        <v>139</v>
      </c>
      <c r="B69" s="49"/>
      <c r="C69" s="49"/>
      <c r="D69" s="50"/>
      <c r="E69" s="49"/>
      <c r="F69" s="50"/>
      <c r="G69" s="49"/>
      <c r="H69" s="35">
        <v>36266000000</v>
      </c>
      <c r="K69" s="3"/>
    </row>
    <row r="70" s="4" customFormat="1" customHeight="1" spans="1:11">
      <c r="A70" s="20" t="s">
        <v>140</v>
      </c>
      <c r="B70" s="49"/>
      <c r="C70" s="49"/>
      <c r="D70" s="50"/>
      <c r="E70" s="49"/>
      <c r="F70" s="50"/>
      <c r="G70" s="49"/>
      <c r="H70" s="67">
        <f>(H69-H68)/H68</f>
        <v>0.0145803413191178</v>
      </c>
      <c r="K70" s="3"/>
    </row>
    <row r="71" s="4" customFormat="1" customHeight="1"/>
    <row r="72" s="4" customFormat="1" customHeight="1" spans="1:1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</row>
    <row r="73" customHeight="1" spans="1:12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</row>
    <row r="74" customHeight="1" spans="1:12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</row>
    <row r="75" s="5" customFormat="1" customHeight="1" spans="1:12">
      <c r="A75" s="53"/>
      <c r="B75" s="54"/>
      <c r="C75" s="7"/>
      <c r="D75" s="7"/>
      <c r="E75" s="7"/>
      <c r="F75" s="7"/>
      <c r="G75" s="7"/>
      <c r="H75" s="7"/>
      <c r="I75" s="72"/>
      <c r="J75" s="72"/>
      <c r="K75" s="72"/>
      <c r="L75" s="72"/>
    </row>
    <row r="76" s="5" customFormat="1" customHeight="1" spans="1:12">
      <c r="A76" s="53"/>
      <c r="B76" s="54"/>
      <c r="C76" s="7"/>
      <c r="D76" s="7"/>
      <c r="E76" s="7"/>
      <c r="F76" s="7"/>
      <c r="G76" s="7"/>
      <c r="H76" s="4"/>
      <c r="I76" s="72"/>
      <c r="J76" s="73"/>
      <c r="K76" s="72"/>
      <c r="L76" s="72"/>
    </row>
    <row r="77" customHeight="1" spans="1:12">
      <c r="A77" s="7"/>
      <c r="B77" s="4"/>
      <c r="C77" s="4"/>
      <c r="D77" s="4"/>
      <c r="E77" s="4"/>
      <c r="F77" s="4"/>
      <c r="G77" s="4"/>
      <c r="H77" s="4"/>
      <c r="I77" s="74"/>
      <c r="J77" s="74"/>
      <c r="K77" s="52"/>
      <c r="L77" s="52"/>
    </row>
    <row r="78" customHeight="1" spans="1:12">
      <c r="A78" s="55"/>
      <c r="B78" s="56"/>
      <c r="C78" s="56"/>
      <c r="D78" s="56"/>
      <c r="E78" s="56"/>
      <c r="F78" s="56"/>
      <c r="G78" s="56"/>
      <c r="H78" s="56"/>
      <c r="I78" s="74"/>
      <c r="J78" s="74"/>
      <c r="K78" s="52"/>
      <c r="L78" s="52"/>
    </row>
    <row r="79" customHeight="1" spans="1:12">
      <c r="A79" s="4"/>
      <c r="B79" s="56"/>
      <c r="C79" s="56"/>
      <c r="D79" s="56"/>
      <c r="E79" s="56"/>
      <c r="F79" s="56"/>
      <c r="G79" s="56"/>
      <c r="H79" s="56"/>
      <c r="I79" s="75"/>
      <c r="J79" s="75"/>
      <c r="K79" s="52"/>
      <c r="L79" s="52"/>
    </row>
    <row r="80" customHeight="1" spans="1:12">
      <c r="A80" s="57"/>
      <c r="B80" s="56"/>
      <c r="C80" s="56"/>
      <c r="D80" s="56"/>
      <c r="E80" s="56"/>
      <c r="F80" s="56"/>
      <c r="G80" s="56"/>
      <c r="H80" s="56"/>
      <c r="I80" s="75"/>
      <c r="J80" s="75"/>
      <c r="K80" s="52"/>
      <c r="L80" s="52"/>
    </row>
    <row r="81" customHeight="1" spans="1:10">
      <c r="A81" s="56"/>
      <c r="B81" s="56"/>
      <c r="C81" s="56"/>
      <c r="D81" s="56"/>
      <c r="E81" s="56"/>
      <c r="F81" s="56"/>
      <c r="G81" s="56"/>
      <c r="H81" s="56"/>
      <c r="I81" s="60"/>
      <c r="J81" s="60"/>
    </row>
    <row r="82" customHeight="1" spans="1:10">
      <c r="A82" s="58"/>
      <c r="B82" s="59"/>
      <c r="C82" s="60"/>
      <c r="D82" s="60"/>
      <c r="E82" s="60"/>
      <c r="F82" s="60"/>
      <c r="G82" s="60"/>
      <c r="H82" s="60"/>
      <c r="I82" s="60"/>
      <c r="J82" s="60"/>
    </row>
    <row r="83" customHeight="1" spans="1:10">
      <c r="A83" s="58"/>
      <c r="B83" s="59"/>
      <c r="C83" s="60"/>
      <c r="D83" s="60"/>
      <c r="E83" s="60"/>
      <c r="F83" s="60"/>
      <c r="G83" s="60"/>
      <c r="H83" s="60"/>
      <c r="I83" s="60"/>
      <c r="J83" s="60"/>
    </row>
    <row r="84" customHeight="1" spans="1:10">
      <c r="A84" s="58"/>
      <c r="B84" s="59"/>
      <c r="C84" s="60"/>
      <c r="D84" s="60"/>
      <c r="E84" s="60"/>
      <c r="F84" s="60"/>
      <c r="G84" s="60"/>
      <c r="H84" s="60"/>
      <c r="I84" s="60"/>
      <c r="J84" s="60"/>
    </row>
    <row r="85" customHeight="1" spans="1:10">
      <c r="A85" s="58"/>
      <c r="B85" s="59"/>
      <c r="C85" s="60"/>
      <c r="D85" s="60"/>
      <c r="E85" s="60"/>
      <c r="F85" s="60"/>
      <c r="G85" s="60"/>
      <c r="H85" s="60"/>
      <c r="I85" s="60"/>
      <c r="J85" s="60"/>
    </row>
    <row r="86" customHeight="1" spans="1:10">
      <c r="A86" s="58"/>
      <c r="B86" s="59"/>
      <c r="C86" s="60"/>
      <c r="D86" s="60"/>
      <c r="E86" s="60"/>
      <c r="F86" s="60"/>
      <c r="G86" s="60"/>
      <c r="H86" s="60"/>
      <c r="I86" s="60"/>
      <c r="J86" s="60"/>
    </row>
    <row r="87" customHeight="1" spans="1:10">
      <c r="A87" s="58"/>
      <c r="B87" s="59"/>
      <c r="C87" s="60"/>
      <c r="D87" s="60"/>
      <c r="E87" s="60"/>
      <c r="F87" s="60"/>
      <c r="G87" s="60"/>
      <c r="H87" s="60"/>
      <c r="I87" s="60"/>
      <c r="J87" s="60"/>
    </row>
    <row r="88" customHeight="1" spans="1:10">
      <c r="A88" s="58"/>
      <c r="B88" s="59"/>
      <c r="C88" s="60"/>
      <c r="D88" s="60"/>
      <c r="E88" s="60"/>
      <c r="F88" s="60"/>
      <c r="G88" s="60"/>
      <c r="H88" s="60"/>
      <c r="I88" s="60"/>
      <c r="J88" s="60"/>
    </row>
    <row r="89" customHeight="1" spans="1:10">
      <c r="A89" s="58"/>
      <c r="B89" s="59"/>
      <c r="C89" s="60"/>
      <c r="D89" s="60"/>
      <c r="E89" s="60"/>
      <c r="F89" s="60"/>
      <c r="G89" s="60"/>
      <c r="H89" s="60"/>
      <c r="I89" s="60"/>
      <c r="J89" s="60"/>
    </row>
    <row r="90" customHeight="1" spans="1:10">
      <c r="A90" s="58"/>
      <c r="B90" s="59"/>
      <c r="C90" s="60"/>
      <c r="D90" s="60"/>
      <c r="E90" s="60"/>
      <c r="F90" s="60"/>
      <c r="G90" s="60"/>
      <c r="H90" s="60"/>
      <c r="I90" s="60"/>
      <c r="J90" s="60"/>
    </row>
    <row r="91" customHeight="1" spans="1:10">
      <c r="A91" s="58"/>
      <c r="B91" s="59"/>
      <c r="C91" s="60"/>
      <c r="D91" s="60"/>
      <c r="E91" s="60"/>
      <c r="F91" s="60"/>
      <c r="G91" s="60"/>
      <c r="H91" s="60"/>
      <c r="I91" s="60"/>
      <c r="J91" s="60"/>
    </row>
    <row r="92" customHeight="1" spans="1:10">
      <c r="A92" s="58"/>
      <c r="B92" s="59"/>
      <c r="C92" s="60"/>
      <c r="D92" s="60"/>
      <c r="E92" s="60"/>
      <c r="F92" s="60"/>
      <c r="G92" s="60"/>
      <c r="H92" s="60"/>
      <c r="I92" s="60"/>
      <c r="J92" s="60"/>
    </row>
    <row r="93" customHeight="1" spans="1:10">
      <c r="A93" s="58"/>
      <c r="B93" s="59"/>
      <c r="C93" s="60"/>
      <c r="D93" s="60"/>
      <c r="E93" s="60"/>
      <c r="F93" s="60"/>
      <c r="G93" s="60"/>
      <c r="H93" s="60"/>
      <c r="I93" s="60"/>
      <c r="J93" s="60"/>
    </row>
    <row r="94" customHeight="1" spans="1:10">
      <c r="A94" s="58"/>
      <c r="B94" s="59"/>
      <c r="C94" s="60"/>
      <c r="D94" s="60"/>
      <c r="E94" s="60"/>
      <c r="F94" s="60"/>
      <c r="G94" s="60"/>
      <c r="H94" s="60"/>
      <c r="I94" s="60"/>
      <c r="J94" s="60"/>
    </row>
    <row r="95" customHeight="1" spans="1:10">
      <c r="A95" s="58"/>
      <c r="B95" s="59"/>
      <c r="C95" s="60"/>
      <c r="D95" s="60"/>
      <c r="E95" s="60"/>
      <c r="F95" s="60"/>
      <c r="G95" s="60"/>
      <c r="H95" s="60"/>
      <c r="I95" s="60"/>
      <c r="J95" s="60"/>
    </row>
    <row r="96" customHeight="1" spans="1:10">
      <c r="A96" s="58"/>
      <c r="B96" s="59"/>
      <c r="C96" s="60"/>
      <c r="D96" s="60"/>
      <c r="E96" s="60"/>
      <c r="F96" s="60"/>
      <c r="G96" s="60"/>
      <c r="H96" s="60"/>
      <c r="I96" s="60"/>
      <c r="J96" s="60"/>
    </row>
    <row r="97" customHeight="1" spans="9:10">
      <c r="I97" s="60"/>
      <c r="J97" s="60"/>
    </row>
    <row r="98" customHeight="1" spans="9:10">
      <c r="I98" s="60"/>
      <c r="J98" s="60"/>
    </row>
    <row r="99" customHeight="1" spans="9:10">
      <c r="I99" s="60"/>
      <c r="J99" s="60"/>
    </row>
    <row r="100" customHeight="1" spans="9:10">
      <c r="I100" s="60"/>
      <c r="J100" s="60"/>
    </row>
    <row r="101" customHeight="1" spans="9:10">
      <c r="I101" s="60"/>
      <c r="J101" s="60"/>
    </row>
    <row r="102" customHeight="1" spans="9:10">
      <c r="I102" s="60"/>
      <c r="J102" s="60"/>
    </row>
    <row r="103" customHeight="1" spans="9:10">
      <c r="I103" s="60"/>
      <c r="J103" s="60"/>
    </row>
    <row r="104" customHeight="1" spans="9:10">
      <c r="I104" s="60"/>
      <c r="J104" s="60"/>
    </row>
    <row r="105" customHeight="1" spans="9:10">
      <c r="I105" s="60"/>
      <c r="J105" s="60"/>
    </row>
    <row r="106" customHeight="1" spans="9:10">
      <c r="I106" s="60"/>
      <c r="J106" s="60"/>
    </row>
    <row r="107" customHeight="1" spans="9:10">
      <c r="I107" s="60"/>
      <c r="J107" s="60"/>
    </row>
    <row r="108" customHeight="1" spans="9:10">
      <c r="I108" s="60"/>
      <c r="J108" s="60"/>
    </row>
    <row r="109" customHeight="1" spans="9:10">
      <c r="I109" s="60"/>
      <c r="J109" s="60"/>
    </row>
    <row r="110" customHeight="1" spans="9:10">
      <c r="I110" s="60"/>
      <c r="J110" s="60"/>
    </row>
    <row r="111" customHeight="1" spans="9:10">
      <c r="I111" s="60"/>
      <c r="J111" s="60"/>
    </row>
    <row r="112" customHeight="1" spans="9:10">
      <c r="I112" s="60"/>
      <c r="J112" s="60"/>
    </row>
    <row r="113" customHeight="1" spans="9:10">
      <c r="I113" s="60"/>
      <c r="J113" s="60"/>
    </row>
    <row r="114" customHeight="1" spans="9:10">
      <c r="I114" s="23"/>
      <c r="J114" s="23"/>
    </row>
    <row r="115" customHeight="1" spans="9:10">
      <c r="I115" s="23"/>
      <c r="J115" s="23"/>
    </row>
    <row r="116" customHeight="1" spans="9:10">
      <c r="I116" s="23"/>
      <c r="J116" s="23"/>
    </row>
    <row r="117" customHeight="1" spans="9:10">
      <c r="I117" s="23"/>
      <c r="J117" s="23"/>
    </row>
    <row r="118" customHeight="1" spans="9:10">
      <c r="I118" s="23"/>
      <c r="J118" s="23"/>
    </row>
    <row r="119" customHeight="1" spans="9:10">
      <c r="I119" s="23"/>
      <c r="J119" s="23"/>
    </row>
    <row r="120" customHeight="1" spans="9:10">
      <c r="I120" s="23"/>
      <c r="J120" s="23"/>
    </row>
    <row r="121" customHeight="1" spans="1:10">
      <c r="A121" s="58"/>
      <c r="B121" s="59"/>
      <c r="C121" s="60"/>
      <c r="D121" s="60"/>
      <c r="E121" s="60"/>
      <c r="F121" s="60"/>
      <c r="G121" s="60"/>
      <c r="H121" s="60"/>
      <c r="I121" s="23"/>
      <c r="J121" s="23"/>
    </row>
    <row r="122" customHeight="1" spans="1:10">
      <c r="A122" s="58"/>
      <c r="B122" s="59"/>
      <c r="C122" s="60"/>
      <c r="D122" s="60"/>
      <c r="E122" s="60"/>
      <c r="F122" s="60"/>
      <c r="G122" s="60"/>
      <c r="H122" s="60"/>
      <c r="I122" s="23"/>
      <c r="J122" s="23"/>
    </row>
    <row r="123" customHeight="1" spans="1:10">
      <c r="A123" s="58"/>
      <c r="B123" s="59"/>
      <c r="C123" s="60"/>
      <c r="D123" s="60"/>
      <c r="E123" s="60"/>
      <c r="F123" s="60"/>
      <c r="G123" s="60"/>
      <c r="H123" s="60"/>
      <c r="I123" s="23"/>
      <c r="J123" s="23"/>
    </row>
    <row r="124" customHeight="1" spans="1:10">
      <c r="A124" s="58"/>
      <c r="B124" s="59"/>
      <c r="C124" s="60"/>
      <c r="D124" s="60"/>
      <c r="E124" s="60"/>
      <c r="F124" s="60"/>
      <c r="G124" s="60"/>
      <c r="H124" s="60"/>
      <c r="I124" s="23"/>
      <c r="J124" s="23"/>
    </row>
    <row r="125" customHeight="1" spans="1:10">
      <c r="A125" s="58"/>
      <c r="B125" s="59"/>
      <c r="C125" s="60"/>
      <c r="D125" s="60"/>
      <c r="E125" s="60"/>
      <c r="F125" s="60"/>
      <c r="G125" s="60"/>
      <c r="H125" s="60"/>
      <c r="I125" s="23"/>
      <c r="J125" s="23"/>
    </row>
    <row r="126" customHeight="1" spans="1:10">
      <c r="A126" s="58"/>
      <c r="B126" s="59"/>
      <c r="C126" s="60"/>
      <c r="D126" s="60"/>
      <c r="E126" s="60"/>
      <c r="F126" s="60"/>
      <c r="G126" s="60"/>
      <c r="H126" s="60"/>
      <c r="I126" s="23"/>
      <c r="J126" s="23"/>
    </row>
    <row r="127" customHeight="1" spans="1:10">
      <c r="A127" s="58"/>
      <c r="B127" s="59"/>
      <c r="C127" s="60"/>
      <c r="D127" s="60"/>
      <c r="E127" s="60"/>
      <c r="F127" s="60"/>
      <c r="G127" s="60"/>
      <c r="H127" s="60"/>
      <c r="I127" s="23"/>
      <c r="J127" s="23"/>
    </row>
    <row r="128" customHeight="1" spans="1:10">
      <c r="A128" s="58"/>
      <c r="B128" s="59"/>
      <c r="C128" s="60"/>
      <c r="D128" s="60"/>
      <c r="E128" s="60"/>
      <c r="F128" s="60"/>
      <c r="G128" s="60"/>
      <c r="H128" s="60"/>
      <c r="I128" s="23"/>
      <c r="J128" s="23"/>
    </row>
    <row r="129" customHeight="1" spans="1:10">
      <c r="A129" s="76" t="s">
        <v>0</v>
      </c>
      <c r="B129" s="3" t="s">
        <v>6</v>
      </c>
      <c r="C129" s="3" t="s">
        <v>7</v>
      </c>
      <c r="D129" s="3" t="s">
        <v>8</v>
      </c>
      <c r="E129" s="3" t="s">
        <v>9</v>
      </c>
      <c r="F129" s="1" t="s">
        <v>10</v>
      </c>
      <c r="G129" s="60"/>
      <c r="H129" s="60"/>
      <c r="I129" s="23"/>
      <c r="J129" s="23"/>
    </row>
    <row r="130" customHeight="1" spans="1:10">
      <c r="A130" s="76" t="str">
        <f>A7</f>
        <v>15 - 19</v>
      </c>
      <c r="B130" s="77">
        <f>G7</f>
        <v>0.087</v>
      </c>
      <c r="C130" s="78">
        <f>H7</f>
        <v>1107459072.179</v>
      </c>
      <c r="D130" s="79">
        <f>I7</f>
        <v>0.087</v>
      </c>
      <c r="E130" s="78">
        <f>J7</f>
        <v>1107459072.179</v>
      </c>
      <c r="F130" s="78">
        <f>K7</f>
        <v>0</v>
      </c>
      <c r="G130" s="60"/>
      <c r="H130" s="60"/>
      <c r="I130" s="23"/>
      <c r="J130" s="23"/>
    </row>
    <row r="131" customHeight="1" spans="1:10">
      <c r="A131" s="76" t="str">
        <f>A18</f>
        <v>20 - 29</v>
      </c>
      <c r="B131" s="77">
        <f>G18</f>
        <v>0.087</v>
      </c>
      <c r="C131" s="78">
        <f>H18</f>
        <v>4914168977.66869</v>
      </c>
      <c r="D131" s="79">
        <f>I18</f>
        <v>0.087</v>
      </c>
      <c r="E131" s="78">
        <f>J18</f>
        <v>4914168977.66869</v>
      </c>
      <c r="F131" s="78">
        <f>K18</f>
        <v>0</v>
      </c>
      <c r="G131" s="60"/>
      <c r="H131" s="60"/>
      <c r="I131" s="23"/>
      <c r="J131" s="23"/>
    </row>
    <row r="132" customHeight="1" spans="1:12">
      <c r="A132" s="76" t="str">
        <f>A29</f>
        <v>30 - 39</v>
      </c>
      <c r="B132" s="77">
        <f>G29</f>
        <v>0.087</v>
      </c>
      <c r="C132" s="78">
        <f>H29</f>
        <v>8213685660.47328</v>
      </c>
      <c r="D132" s="79">
        <f>I29</f>
        <v>0.09</v>
      </c>
      <c r="E132" s="78">
        <f>J29</f>
        <v>8496916200.4896</v>
      </c>
      <c r="F132" s="78">
        <f>K29</f>
        <v>283230540.01632</v>
      </c>
      <c r="G132" s="60"/>
      <c r="H132" s="60"/>
      <c r="I132" s="60"/>
      <c r="J132" s="60"/>
      <c r="K132" s="52"/>
      <c r="L132" s="52"/>
    </row>
    <row r="133" customHeight="1" spans="1:12">
      <c r="A133" s="76" t="str">
        <f>A40</f>
        <v>40 - 49</v>
      </c>
      <c r="B133" s="77">
        <f>G40</f>
        <v>0.087</v>
      </c>
      <c r="C133" s="78">
        <f>H40</f>
        <v>8532676155.25282</v>
      </c>
      <c r="D133" s="79">
        <f>I40</f>
        <v>0.095</v>
      </c>
      <c r="E133" s="78">
        <f>J40</f>
        <v>9317290054.58641</v>
      </c>
      <c r="F133" s="78">
        <f>K40</f>
        <v>784613899.333594</v>
      </c>
      <c r="G133" s="60"/>
      <c r="H133" s="60"/>
      <c r="I133" s="60"/>
      <c r="J133" s="60"/>
      <c r="K133" s="52"/>
      <c r="L133" s="52"/>
    </row>
    <row r="134" customHeight="1" spans="1:12">
      <c r="A134" s="76" t="str">
        <f>A57</f>
        <v>50 - 65</v>
      </c>
      <c r="B134" s="77">
        <f>G57</f>
        <v>0.087</v>
      </c>
      <c r="C134" s="78">
        <f>H57</f>
        <v>12088861579.173</v>
      </c>
      <c r="D134" s="79">
        <f>I57</f>
        <v>0.1</v>
      </c>
      <c r="E134" s="78">
        <f>J57</f>
        <v>13895243194.4517</v>
      </c>
      <c r="F134" s="78">
        <f>K57</f>
        <v>1806381615.2787</v>
      </c>
      <c r="G134" s="60"/>
      <c r="H134" s="60"/>
      <c r="I134" s="60"/>
      <c r="J134" s="60"/>
      <c r="K134" s="52"/>
      <c r="L134" s="52"/>
    </row>
    <row r="135" customHeight="1" spans="1:12">
      <c r="A135" s="76" t="str">
        <f>A67</f>
        <v>66 - 74</v>
      </c>
      <c r="B135" s="77">
        <f>G67</f>
        <v>0.087</v>
      </c>
      <c r="C135" s="78">
        <f>H67</f>
        <v>887976759.640018</v>
      </c>
      <c r="D135" s="79">
        <f>I67</f>
        <v>0.105</v>
      </c>
      <c r="E135" s="78">
        <f>J67</f>
        <v>1071696089.22071</v>
      </c>
      <c r="F135" s="78">
        <f>K67</f>
        <v>183719329.58069</v>
      </c>
      <c r="G135" s="60"/>
      <c r="H135" s="60"/>
      <c r="I135" s="60"/>
      <c r="J135" s="60"/>
      <c r="K135" s="52"/>
      <c r="L135" s="52"/>
    </row>
    <row r="136" customHeight="1" spans="1:12">
      <c r="A136" s="4" t="s">
        <v>138</v>
      </c>
      <c r="B136" s="7"/>
      <c r="C136" s="75"/>
      <c r="D136" s="75"/>
      <c r="E136" s="75"/>
      <c r="F136" s="78">
        <f>K68</f>
        <v>3057945384.2093</v>
      </c>
      <c r="G136" s="60"/>
      <c r="H136" s="60"/>
      <c r="I136" s="60"/>
      <c r="J136" s="60"/>
      <c r="K136" s="52"/>
      <c r="L136" s="52"/>
    </row>
    <row r="137" customHeight="1" spans="1:12">
      <c r="A137" s="58"/>
      <c r="B137" s="59"/>
      <c r="C137" s="60"/>
      <c r="D137" s="60"/>
      <c r="E137" s="60"/>
      <c r="F137" s="60"/>
      <c r="G137" s="60"/>
      <c r="H137" s="60"/>
      <c r="I137" s="60"/>
      <c r="J137" s="60"/>
      <c r="K137" s="52"/>
      <c r="L137" s="52"/>
    </row>
    <row r="138" customHeight="1" spans="1:12">
      <c r="A138" s="58"/>
      <c r="B138" s="59"/>
      <c r="C138" s="23"/>
      <c r="D138" s="23"/>
      <c r="E138" s="23"/>
      <c r="F138" s="23"/>
      <c r="G138" s="23"/>
      <c r="H138" s="60"/>
      <c r="I138" s="60"/>
      <c r="J138" s="60"/>
      <c r="K138" s="52"/>
      <c r="L138" s="52"/>
    </row>
    <row r="139" customHeight="1" spans="1:12">
      <c r="A139" s="58"/>
      <c r="B139" s="59"/>
      <c r="C139" s="23"/>
      <c r="D139" s="23"/>
      <c r="E139" s="23"/>
      <c r="F139" s="23"/>
      <c r="G139" s="23"/>
      <c r="H139" s="60"/>
      <c r="I139" s="80"/>
      <c r="J139" s="80"/>
      <c r="K139" s="52"/>
      <c r="L139" s="52"/>
    </row>
    <row r="140" customHeight="1" spans="1:12">
      <c r="A140" s="58"/>
      <c r="B140" s="59"/>
      <c r="C140" s="23"/>
      <c r="D140" s="23"/>
      <c r="E140" s="23"/>
      <c r="F140" s="23"/>
      <c r="G140" s="23"/>
      <c r="H140" s="60"/>
      <c r="I140" s="60"/>
      <c r="J140" s="60"/>
      <c r="K140" s="52"/>
      <c r="L140" s="52"/>
    </row>
    <row r="141" customHeight="1" spans="1:12">
      <c r="A141" s="58"/>
      <c r="B141" s="59"/>
      <c r="C141" s="23"/>
      <c r="D141" s="23"/>
      <c r="E141" s="23"/>
      <c r="F141" s="23"/>
      <c r="G141" s="23"/>
      <c r="H141" s="60"/>
      <c r="I141" s="60"/>
      <c r="J141" s="60"/>
      <c r="K141" s="52"/>
      <c r="L141" s="52"/>
    </row>
    <row r="142" customHeight="1" spans="1:12">
      <c r="A142" s="58"/>
      <c r="B142" s="59"/>
      <c r="C142" s="23"/>
      <c r="D142" s="23"/>
      <c r="E142" s="23"/>
      <c r="F142" s="23"/>
      <c r="G142" s="23"/>
      <c r="H142" s="60"/>
      <c r="I142" s="60"/>
      <c r="J142" s="60"/>
      <c r="K142" s="52"/>
      <c r="L142" s="52"/>
    </row>
    <row r="143" customHeight="1" spans="1:10">
      <c r="A143" s="58"/>
      <c r="B143" s="59"/>
      <c r="C143" s="23"/>
      <c r="D143" s="23"/>
      <c r="E143" s="23"/>
      <c r="F143" s="23"/>
      <c r="G143" s="23"/>
      <c r="H143" s="23"/>
      <c r="I143" s="60"/>
      <c r="J143" s="60"/>
    </row>
    <row r="144" customHeight="1" spans="1:10">
      <c r="A144" s="58"/>
      <c r="B144" s="59"/>
      <c r="C144" s="23"/>
      <c r="D144" s="23"/>
      <c r="E144" s="23"/>
      <c r="F144" s="23"/>
      <c r="G144" s="23"/>
      <c r="H144" s="23"/>
      <c r="I144" s="60"/>
      <c r="J144" s="60"/>
    </row>
    <row r="145" customHeight="1" spans="1:10">
      <c r="A145" s="58"/>
      <c r="B145" s="59"/>
      <c r="C145" s="23"/>
      <c r="D145" s="23"/>
      <c r="E145" s="23"/>
      <c r="F145" s="23"/>
      <c r="G145" s="23"/>
      <c r="H145" s="23"/>
      <c r="I145" s="60"/>
      <c r="J145" s="60"/>
    </row>
    <row r="146" customHeight="1" spans="1:10">
      <c r="A146" s="58"/>
      <c r="B146" s="59"/>
      <c r="C146" s="23"/>
      <c r="D146" s="23"/>
      <c r="E146" s="23"/>
      <c r="F146" s="23"/>
      <c r="G146" s="23"/>
      <c r="H146" s="23"/>
      <c r="I146" s="60"/>
      <c r="J146" s="60"/>
    </row>
    <row r="147" customHeight="1" spans="1:10">
      <c r="A147" s="58"/>
      <c r="B147" s="59"/>
      <c r="C147" s="23"/>
      <c r="D147" s="23"/>
      <c r="E147" s="23"/>
      <c r="F147" s="23"/>
      <c r="G147" s="23"/>
      <c r="H147" s="23"/>
      <c r="I147" s="60"/>
      <c r="J147" s="60"/>
    </row>
    <row r="148" customHeight="1" spans="1:10">
      <c r="A148" s="58"/>
      <c r="B148" s="59"/>
      <c r="C148" s="23"/>
      <c r="D148" s="23"/>
      <c r="E148" s="23"/>
      <c r="F148" s="23"/>
      <c r="G148" s="23"/>
      <c r="H148" s="23"/>
      <c r="I148" s="60"/>
      <c r="J148" s="60"/>
    </row>
    <row r="149" customHeight="1" spans="1:10">
      <c r="A149" s="58"/>
      <c r="B149" s="59"/>
      <c r="C149" s="23"/>
      <c r="D149" s="23"/>
      <c r="E149" s="23"/>
      <c r="F149" s="23"/>
      <c r="G149" s="23"/>
      <c r="H149" s="23"/>
      <c r="I149" s="60"/>
      <c r="J149" s="60"/>
    </row>
    <row r="150" customHeight="1" spans="1:10">
      <c r="A150" s="58"/>
      <c r="B150" s="59"/>
      <c r="C150" s="23"/>
      <c r="D150" s="23"/>
      <c r="E150" s="23"/>
      <c r="F150" s="23"/>
      <c r="G150" s="23"/>
      <c r="H150" s="23"/>
      <c r="I150" s="60"/>
      <c r="J150" s="60"/>
    </row>
    <row r="151" customHeight="1" spans="1:10">
      <c r="A151" s="58"/>
      <c r="B151" s="59"/>
      <c r="C151" s="23"/>
      <c r="D151" s="23"/>
      <c r="E151" s="23"/>
      <c r="F151" s="23"/>
      <c r="G151" s="23"/>
      <c r="H151" s="23"/>
      <c r="I151" s="60"/>
      <c r="J151" s="60"/>
    </row>
    <row r="152" customHeight="1" spans="1:10">
      <c r="A152" s="58"/>
      <c r="B152" s="59"/>
      <c r="C152" s="60"/>
      <c r="D152" s="60"/>
      <c r="E152" s="60"/>
      <c r="F152" s="60"/>
      <c r="G152" s="60"/>
      <c r="H152" s="60"/>
      <c r="I152" s="60"/>
      <c r="J152" s="60"/>
    </row>
    <row r="153" customHeight="1" spans="1:10">
      <c r="A153" s="58"/>
      <c r="B153" s="59"/>
      <c r="C153" s="60"/>
      <c r="D153" s="60"/>
      <c r="E153" s="60"/>
      <c r="F153" s="60"/>
      <c r="G153" s="60"/>
      <c r="H153" s="60"/>
      <c r="I153" s="60"/>
      <c r="J153" s="60"/>
    </row>
    <row r="154" customHeight="1" spans="1:10">
      <c r="A154" s="58"/>
      <c r="B154" s="59"/>
      <c r="C154" s="60"/>
      <c r="D154" s="60"/>
      <c r="E154" s="60"/>
      <c r="F154" s="60"/>
      <c r="G154" s="60"/>
      <c r="H154" s="60"/>
      <c r="I154" s="60"/>
      <c r="J154" s="60"/>
    </row>
    <row r="155" customHeight="1" spans="1:10">
      <c r="A155" s="58"/>
      <c r="B155" s="59"/>
      <c r="C155" s="60"/>
      <c r="D155" s="60"/>
      <c r="E155" s="60"/>
      <c r="F155" s="60"/>
      <c r="G155" s="60"/>
      <c r="H155" s="60"/>
      <c r="I155" s="60"/>
      <c r="J155" s="60"/>
    </row>
    <row r="156" customHeight="1" spans="1:10">
      <c r="A156" s="58"/>
      <c r="B156" s="59"/>
      <c r="C156" s="60"/>
      <c r="D156" s="60"/>
      <c r="E156" s="60"/>
      <c r="F156" s="60"/>
      <c r="G156" s="60"/>
      <c r="H156" s="60"/>
      <c r="I156" s="60"/>
      <c r="J156" s="60"/>
    </row>
    <row r="157" customHeight="1" spans="1:10">
      <c r="A157" s="58"/>
      <c r="B157" s="59"/>
      <c r="C157" s="60"/>
      <c r="D157" s="60"/>
      <c r="E157" s="60"/>
      <c r="F157" s="60"/>
      <c r="G157" s="60"/>
      <c r="H157" s="60"/>
      <c r="I157" s="60"/>
      <c r="J157" s="60"/>
    </row>
    <row r="158" customHeight="1" spans="1:10">
      <c r="A158" s="58"/>
      <c r="B158" s="59"/>
      <c r="C158" s="60"/>
      <c r="D158" s="60"/>
      <c r="E158" s="60"/>
      <c r="F158" s="60"/>
      <c r="G158" s="60"/>
      <c r="H158" s="60"/>
      <c r="I158" s="60"/>
      <c r="J158" s="60"/>
    </row>
    <row r="159" customHeight="1" spans="1:10">
      <c r="A159" s="58"/>
      <c r="B159" s="59"/>
      <c r="C159" s="60"/>
      <c r="D159" s="60"/>
      <c r="E159" s="60"/>
      <c r="F159" s="60"/>
      <c r="G159" s="60"/>
      <c r="H159" s="60"/>
      <c r="I159" s="60"/>
      <c r="J159" s="60"/>
    </row>
    <row r="160" customHeight="1" spans="1:10">
      <c r="A160" s="58"/>
      <c r="B160" s="59"/>
      <c r="C160" s="60"/>
      <c r="D160" s="60"/>
      <c r="E160" s="60"/>
      <c r="F160" s="60"/>
      <c r="G160" s="60"/>
      <c r="H160" s="60"/>
      <c r="I160" s="60"/>
      <c r="J160" s="60"/>
    </row>
    <row r="161" customHeight="1" spans="1:10">
      <c r="A161" s="58"/>
      <c r="B161" s="59"/>
      <c r="C161" s="60"/>
      <c r="D161" s="60"/>
      <c r="E161" s="60"/>
      <c r="F161" s="60"/>
      <c r="G161" s="60"/>
      <c r="H161" s="60"/>
      <c r="I161" s="60"/>
      <c r="J161" s="60"/>
    </row>
    <row r="162" customHeight="1" spans="1:10">
      <c r="A162" s="58"/>
      <c r="B162" s="59"/>
      <c r="C162" s="60"/>
      <c r="D162" s="60"/>
      <c r="E162" s="60"/>
      <c r="F162" s="60"/>
      <c r="G162" s="60"/>
      <c r="H162" s="60"/>
      <c r="I162" s="60"/>
      <c r="J162" s="60"/>
    </row>
    <row r="163" customHeight="1" spans="1:10">
      <c r="A163" s="58"/>
      <c r="B163" s="59"/>
      <c r="C163" s="60"/>
      <c r="D163" s="60"/>
      <c r="E163" s="60"/>
      <c r="F163" s="60"/>
      <c r="G163" s="60"/>
      <c r="H163" s="60"/>
      <c r="I163" s="60"/>
      <c r="J163" s="60"/>
    </row>
    <row r="164" customHeight="1" spans="1:10">
      <c r="A164" s="58"/>
      <c r="B164" s="59"/>
      <c r="C164" s="60"/>
      <c r="D164" s="60"/>
      <c r="E164" s="60"/>
      <c r="F164" s="60"/>
      <c r="G164" s="60"/>
      <c r="H164" s="60"/>
      <c r="I164" s="60"/>
      <c r="J164" s="60"/>
    </row>
    <row r="165" customHeight="1" spans="1:10">
      <c r="A165" s="58"/>
      <c r="B165" s="59"/>
      <c r="C165" s="60"/>
      <c r="D165" s="60"/>
      <c r="E165" s="60"/>
      <c r="F165" s="60"/>
      <c r="G165" s="60"/>
      <c r="H165" s="60"/>
      <c r="I165" s="60"/>
      <c r="J165" s="60"/>
    </row>
    <row r="166" customHeight="1" spans="1:10">
      <c r="A166" s="58"/>
      <c r="B166" s="59"/>
      <c r="C166" s="60"/>
      <c r="D166" s="60"/>
      <c r="E166" s="60"/>
      <c r="F166" s="60"/>
      <c r="G166" s="60"/>
      <c r="H166" s="60"/>
      <c r="I166" s="60"/>
      <c r="J166" s="60"/>
    </row>
    <row r="167" customHeight="1" spans="1:10">
      <c r="A167" s="58"/>
      <c r="B167" s="59"/>
      <c r="C167" s="60"/>
      <c r="D167" s="60"/>
      <c r="E167" s="60"/>
      <c r="F167" s="60"/>
      <c r="G167" s="60"/>
      <c r="H167" s="60"/>
      <c r="I167" s="60"/>
      <c r="J167" s="60"/>
    </row>
    <row r="168" customHeight="1" spans="1:10">
      <c r="A168" s="58"/>
      <c r="B168" s="59"/>
      <c r="C168" s="60"/>
      <c r="D168" s="60"/>
      <c r="E168" s="60"/>
      <c r="F168" s="60"/>
      <c r="G168" s="60"/>
      <c r="H168" s="60"/>
      <c r="I168" s="60"/>
      <c r="J168" s="60"/>
    </row>
    <row r="169" customHeight="1" spans="1:10">
      <c r="A169" s="58"/>
      <c r="B169" s="59"/>
      <c r="C169" s="60"/>
      <c r="D169" s="60"/>
      <c r="E169" s="60"/>
      <c r="F169" s="60"/>
      <c r="G169" s="60"/>
      <c r="H169" s="60"/>
      <c r="I169" s="60"/>
      <c r="J169" s="60"/>
    </row>
    <row r="170" customHeight="1" spans="1:10">
      <c r="A170" s="58"/>
      <c r="B170" s="59"/>
      <c r="C170" s="60"/>
      <c r="D170" s="60"/>
      <c r="E170" s="60"/>
      <c r="F170" s="60"/>
      <c r="G170" s="60"/>
      <c r="H170" s="60"/>
      <c r="I170" s="60"/>
      <c r="J170" s="60"/>
    </row>
    <row r="171" customHeight="1" spans="1:10">
      <c r="A171" s="58"/>
      <c r="B171" s="59"/>
      <c r="C171" s="60"/>
      <c r="D171" s="60"/>
      <c r="E171" s="60"/>
      <c r="F171" s="60"/>
      <c r="G171" s="60"/>
      <c r="H171" s="60"/>
      <c r="I171" s="60"/>
      <c r="J171" s="60"/>
    </row>
    <row r="172" customHeight="1" spans="1:10">
      <c r="A172" s="58"/>
      <c r="B172" s="59"/>
      <c r="C172" s="60"/>
      <c r="D172" s="60"/>
      <c r="E172" s="60"/>
      <c r="F172" s="60"/>
      <c r="G172" s="60"/>
      <c r="H172" s="60"/>
      <c r="I172" s="60"/>
      <c r="J172" s="60"/>
    </row>
    <row r="173" customHeight="1" spans="1:10">
      <c r="A173" s="58"/>
      <c r="B173" s="59"/>
      <c r="C173" s="60"/>
      <c r="D173" s="60"/>
      <c r="E173" s="60"/>
      <c r="F173" s="60"/>
      <c r="G173" s="60"/>
      <c r="H173" s="60"/>
      <c r="I173" s="60"/>
      <c r="J173" s="60"/>
    </row>
    <row r="174" customHeight="1" spans="1:10">
      <c r="A174" s="58"/>
      <c r="B174" s="59"/>
      <c r="C174" s="60"/>
      <c r="D174" s="60"/>
      <c r="E174" s="60"/>
      <c r="F174" s="60"/>
      <c r="G174" s="60"/>
      <c r="H174" s="60"/>
      <c r="I174" s="60"/>
      <c r="J174" s="60"/>
    </row>
    <row r="175" customHeight="1" spans="1:10">
      <c r="A175" s="58"/>
      <c r="B175" s="59"/>
      <c r="C175" s="23"/>
      <c r="D175" s="23"/>
      <c r="E175" s="23"/>
      <c r="F175" s="23"/>
      <c r="G175" s="23"/>
      <c r="H175" s="23"/>
      <c r="I175" s="23"/>
      <c r="J175" s="23"/>
    </row>
    <row r="176" customHeight="1" spans="1:10">
      <c r="A176" s="58"/>
      <c r="B176" s="59"/>
      <c r="C176" s="23"/>
      <c r="D176" s="23"/>
      <c r="E176" s="23"/>
      <c r="F176" s="23"/>
      <c r="G176" s="23"/>
      <c r="H176" s="23"/>
      <c r="I176" s="23"/>
      <c r="J176" s="23"/>
    </row>
    <row r="177" customHeight="1" spans="1:10">
      <c r="A177" s="58"/>
      <c r="B177" s="59"/>
      <c r="C177" s="23"/>
      <c r="D177" s="23"/>
      <c r="E177" s="23"/>
      <c r="F177" s="23"/>
      <c r="G177" s="23"/>
      <c r="H177" s="23"/>
      <c r="I177" s="23"/>
      <c r="J177" s="23"/>
    </row>
    <row r="178" customHeight="1" spans="1:10">
      <c r="A178" s="58"/>
      <c r="B178" s="59"/>
      <c r="C178" s="23"/>
      <c r="D178" s="23"/>
      <c r="E178" s="23"/>
      <c r="F178" s="23"/>
      <c r="G178" s="23"/>
      <c r="H178" s="23"/>
      <c r="I178" s="23"/>
      <c r="J178" s="23"/>
    </row>
    <row r="179" customHeight="1" spans="1:10">
      <c r="A179" s="58"/>
      <c r="B179" s="59"/>
      <c r="C179" s="23"/>
      <c r="D179" s="23"/>
      <c r="E179" s="23"/>
      <c r="F179" s="23"/>
      <c r="G179" s="23"/>
      <c r="H179" s="23"/>
      <c r="I179" s="23"/>
      <c r="J179" s="23"/>
    </row>
    <row r="180" customHeight="1" spans="1:10">
      <c r="A180" s="58"/>
      <c r="B180" s="59"/>
      <c r="C180" s="23"/>
      <c r="D180" s="23"/>
      <c r="E180" s="23"/>
      <c r="F180" s="23"/>
      <c r="G180" s="23"/>
      <c r="H180" s="23"/>
      <c r="I180" s="23"/>
      <c r="J180" s="23"/>
    </row>
    <row r="181" customHeight="1" spans="1:10">
      <c r="A181" s="58"/>
      <c r="B181" s="59"/>
      <c r="C181" s="23"/>
      <c r="D181" s="23"/>
      <c r="E181" s="23"/>
      <c r="F181" s="23"/>
      <c r="G181" s="23"/>
      <c r="H181" s="23"/>
      <c r="I181" s="23"/>
      <c r="J181" s="23"/>
    </row>
    <row r="182" customHeight="1" spans="1:10">
      <c r="A182" s="58"/>
      <c r="B182" s="59"/>
      <c r="C182" s="23"/>
      <c r="D182" s="23"/>
      <c r="E182" s="23"/>
      <c r="F182" s="23"/>
      <c r="G182" s="23"/>
      <c r="H182" s="23"/>
      <c r="I182" s="23"/>
      <c r="J182" s="23"/>
    </row>
    <row r="183" customHeight="1" spans="1:10">
      <c r="A183" s="58"/>
      <c r="B183" s="59"/>
      <c r="C183" s="23"/>
      <c r="D183" s="23"/>
      <c r="E183" s="23"/>
      <c r="F183" s="23"/>
      <c r="G183" s="23"/>
      <c r="H183" s="23"/>
      <c r="I183" s="23"/>
      <c r="J183" s="23"/>
    </row>
    <row r="184" customHeight="1" spans="1:10">
      <c r="A184" s="58"/>
      <c r="B184" s="59"/>
      <c r="C184" s="23"/>
      <c r="D184" s="23"/>
      <c r="E184" s="23"/>
      <c r="F184" s="23"/>
      <c r="G184" s="23"/>
      <c r="H184" s="23"/>
      <c r="I184" s="23"/>
      <c r="J184" s="23"/>
    </row>
    <row r="185" customHeight="1" spans="1:10">
      <c r="A185" s="58"/>
      <c r="B185" s="59"/>
      <c r="C185" s="23"/>
      <c r="D185" s="23"/>
      <c r="E185" s="23"/>
      <c r="F185" s="23"/>
      <c r="G185" s="23"/>
      <c r="H185" s="23"/>
      <c r="I185" s="23"/>
      <c r="J185" s="23"/>
    </row>
    <row r="186" customHeight="1" spans="1:10">
      <c r="A186" s="58"/>
      <c r="B186" s="59"/>
      <c r="C186" s="23"/>
      <c r="D186" s="23"/>
      <c r="E186" s="23"/>
      <c r="F186" s="23"/>
      <c r="G186" s="23"/>
      <c r="H186" s="23"/>
      <c r="I186" s="23"/>
      <c r="J186" s="23"/>
    </row>
    <row r="187" customHeight="1" spans="1:10">
      <c r="A187" s="58"/>
      <c r="B187" s="59"/>
      <c r="C187" s="23"/>
      <c r="D187" s="23"/>
      <c r="E187" s="23"/>
      <c r="F187" s="23"/>
      <c r="G187" s="23"/>
      <c r="H187" s="23"/>
      <c r="I187" s="23"/>
      <c r="J187" s="23"/>
    </row>
    <row r="188" customHeight="1" spans="1:10">
      <c r="A188" s="58"/>
      <c r="B188" s="59"/>
      <c r="C188" s="23"/>
      <c r="D188" s="23"/>
      <c r="E188" s="23"/>
      <c r="F188" s="23"/>
      <c r="G188" s="23"/>
      <c r="H188" s="23"/>
      <c r="I188" s="23"/>
      <c r="J188" s="23"/>
    </row>
    <row r="189" customHeight="1" spans="1:10">
      <c r="A189" s="58"/>
      <c r="B189" s="59"/>
      <c r="C189" s="23"/>
      <c r="D189" s="23"/>
      <c r="E189" s="23"/>
      <c r="F189" s="23"/>
      <c r="G189" s="23"/>
      <c r="H189" s="23"/>
      <c r="I189" s="23"/>
      <c r="J189" s="23"/>
    </row>
    <row r="190" customHeight="1" spans="1:10">
      <c r="A190" s="58"/>
      <c r="B190" s="59"/>
      <c r="C190" s="23"/>
      <c r="D190" s="23"/>
      <c r="E190" s="23"/>
      <c r="F190" s="23"/>
      <c r="G190" s="23"/>
      <c r="H190" s="23"/>
      <c r="I190" s="23"/>
      <c r="J190" s="23"/>
    </row>
    <row r="191" customHeight="1" spans="1:12">
      <c r="A191" s="58"/>
      <c r="B191" s="59"/>
      <c r="C191" s="75"/>
      <c r="D191" s="75"/>
      <c r="E191" s="75"/>
      <c r="F191" s="75"/>
      <c r="G191" s="75"/>
      <c r="H191" s="75"/>
      <c r="I191" s="75"/>
      <c r="J191" s="75"/>
      <c r="K191" s="52"/>
      <c r="L191" s="52"/>
    </row>
    <row r="192" customHeight="1" spans="1:12">
      <c r="A192" s="58"/>
      <c r="B192" s="59"/>
      <c r="C192" s="75"/>
      <c r="D192" s="75"/>
      <c r="E192" s="75"/>
      <c r="F192" s="75"/>
      <c r="G192" s="75"/>
      <c r="H192" s="75"/>
      <c r="I192" s="75"/>
      <c r="J192" s="75"/>
      <c r="K192" s="52"/>
      <c r="L192" s="52"/>
    </row>
    <row r="193" customHeight="1" spans="1:12">
      <c r="A193" s="58"/>
      <c r="B193" s="59"/>
      <c r="C193" s="75"/>
      <c r="D193" s="75"/>
      <c r="E193" s="75"/>
      <c r="F193" s="75"/>
      <c r="G193" s="75"/>
      <c r="H193" s="75"/>
      <c r="I193" s="75"/>
      <c r="J193" s="75"/>
      <c r="K193" s="52"/>
      <c r="L193" s="52"/>
    </row>
    <row r="194" customHeight="1" spans="1:12">
      <c r="A194" s="58"/>
      <c r="B194" s="59"/>
      <c r="C194" s="75"/>
      <c r="D194" s="75"/>
      <c r="E194" s="75"/>
      <c r="F194" s="75"/>
      <c r="G194" s="75"/>
      <c r="H194" s="75"/>
      <c r="I194" s="75"/>
      <c r="J194" s="75"/>
      <c r="K194" s="52"/>
      <c r="L194" s="52"/>
    </row>
    <row r="195" customHeight="1" spans="1:12">
      <c r="A195" s="58"/>
      <c r="B195" s="59"/>
      <c r="C195" s="75"/>
      <c r="D195" s="75"/>
      <c r="E195" s="75"/>
      <c r="F195" s="75"/>
      <c r="G195" s="75"/>
      <c r="H195" s="75"/>
      <c r="I195" s="75"/>
      <c r="J195" s="75"/>
      <c r="K195" s="52"/>
      <c r="L195" s="52"/>
    </row>
    <row r="196" customHeight="1" spans="1:12">
      <c r="A196" s="58"/>
      <c r="B196" s="59"/>
      <c r="C196" s="81"/>
      <c r="D196" s="75"/>
      <c r="E196" s="75"/>
      <c r="F196" s="75"/>
      <c r="G196" s="75"/>
      <c r="H196" s="75"/>
      <c r="I196" s="75"/>
      <c r="J196" s="75"/>
      <c r="K196" s="52"/>
      <c r="L196" s="52"/>
    </row>
    <row r="197" customHeight="1" spans="1:12">
      <c r="A197" s="58"/>
      <c r="B197" s="59"/>
      <c r="C197" s="81"/>
      <c r="D197" s="75"/>
      <c r="E197" s="75"/>
      <c r="F197" s="75"/>
      <c r="G197" s="75"/>
      <c r="H197" s="75"/>
      <c r="I197" s="75"/>
      <c r="J197" s="75"/>
      <c r="K197" s="52"/>
      <c r="L197" s="52"/>
    </row>
    <row r="198" customHeight="1" spans="1:12">
      <c r="A198" s="58"/>
      <c r="B198" s="81"/>
      <c r="C198" s="81"/>
      <c r="D198" s="75"/>
      <c r="E198" s="75"/>
      <c r="F198" s="75"/>
      <c r="G198" s="75"/>
      <c r="H198" s="75"/>
      <c r="I198" s="75"/>
      <c r="J198" s="75"/>
      <c r="K198" s="52"/>
      <c r="L198" s="52"/>
    </row>
    <row r="199" customHeight="1" spans="1:12">
      <c r="A199" s="58"/>
      <c r="B199" s="81"/>
      <c r="C199" s="81"/>
      <c r="D199" s="75"/>
      <c r="E199" s="81"/>
      <c r="F199" s="81"/>
      <c r="G199" s="75"/>
      <c r="H199" s="75"/>
      <c r="I199" s="75"/>
      <c r="J199" s="75"/>
      <c r="K199" s="52"/>
      <c r="L199" s="52"/>
    </row>
    <row r="200" customHeight="1" spans="1:12">
      <c r="A200" s="53"/>
      <c r="B200" s="54"/>
      <c r="C200" s="52"/>
      <c r="D200" s="52"/>
      <c r="E200" s="52"/>
      <c r="F200" s="52"/>
      <c r="G200" s="52"/>
      <c r="H200" s="52"/>
      <c r="I200" s="52"/>
      <c r="J200" s="52"/>
      <c r="K200" s="52"/>
      <c r="L200" s="52"/>
    </row>
    <row r="201" customHeight="1" spans="1:12">
      <c r="A201" s="53"/>
      <c r="B201" s="54"/>
      <c r="C201" s="52"/>
      <c r="D201" s="52"/>
      <c r="E201" s="52"/>
      <c r="F201" s="52"/>
      <c r="G201" s="52"/>
      <c r="H201" s="52"/>
      <c r="I201" s="52"/>
      <c r="J201" s="52"/>
      <c r="K201" s="52"/>
      <c r="L201" s="52"/>
    </row>
    <row r="202" customHeight="1" spans="1:12">
      <c r="A202" s="52"/>
      <c r="B202" s="51"/>
      <c r="C202" s="52"/>
      <c r="D202" s="52"/>
      <c r="E202" s="52"/>
      <c r="F202" s="52"/>
      <c r="G202" s="52"/>
      <c r="H202" s="52"/>
      <c r="I202" s="52"/>
      <c r="J202" s="52"/>
      <c r="K202" s="52"/>
      <c r="L202" s="52"/>
    </row>
    <row r="203" customHeight="1" spans="1:12">
      <c r="A203" s="82"/>
      <c r="B203" s="51"/>
      <c r="C203" s="52"/>
      <c r="D203" s="52"/>
      <c r="E203" s="52"/>
      <c r="F203" s="52"/>
      <c r="G203" s="52"/>
      <c r="H203" s="52"/>
      <c r="I203" s="52"/>
      <c r="J203" s="52"/>
      <c r="K203" s="52"/>
      <c r="L203" s="52"/>
    </row>
    <row r="204" customHeight="1" spans="1:12">
      <c r="A204" s="51"/>
      <c r="B204" s="51"/>
      <c r="C204" s="52"/>
      <c r="D204" s="52"/>
      <c r="E204" s="52"/>
      <c r="F204" s="52"/>
      <c r="G204" s="52"/>
      <c r="H204" s="52"/>
      <c r="I204" s="52"/>
      <c r="J204" s="52"/>
      <c r="K204" s="52"/>
      <c r="L204" s="52"/>
    </row>
    <row r="205" customHeight="1" spans="1:12">
      <c r="A205" s="83"/>
      <c r="B205" s="51"/>
      <c r="C205" s="52"/>
      <c r="D205" s="52"/>
      <c r="E205" s="52"/>
      <c r="F205" s="52"/>
      <c r="G205" s="52"/>
      <c r="H205" s="52"/>
      <c r="I205" s="52"/>
      <c r="J205" s="52"/>
      <c r="K205" s="52"/>
      <c r="L205" s="52"/>
    </row>
    <row r="206" customHeight="1" spans="1:12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</row>
    <row r="207" customHeight="1" spans="1:12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</row>
    <row r="208" customHeight="1" spans="1:12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</row>
    <row r="209" customHeight="1" spans="1:12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</row>
    <row r="210" customHeight="1" spans="1:12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</row>
    <row r="211" s="5" customFormat="1" customHeight="1" spans="1:12">
      <c r="A211" s="84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</row>
    <row r="212" s="5" customFormat="1" customHeight="1" spans="1:12">
      <c r="A212" s="85"/>
      <c r="B212" s="72"/>
      <c r="C212" s="72"/>
      <c r="D212" s="72"/>
      <c r="E212" s="72"/>
      <c r="F212" s="72"/>
      <c r="G212" s="72"/>
      <c r="H212" s="73"/>
      <c r="I212" s="72"/>
      <c r="J212" s="73"/>
      <c r="K212" s="72"/>
      <c r="L212" s="72"/>
    </row>
    <row r="213" customHeight="1" spans="1:12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52"/>
      <c r="L213" s="52"/>
    </row>
    <row r="214" customHeight="1" spans="1:12">
      <c r="A214" s="53"/>
      <c r="B214" s="54"/>
      <c r="C214" s="74"/>
      <c r="D214" s="74"/>
      <c r="E214" s="74"/>
      <c r="F214" s="74"/>
      <c r="G214" s="74"/>
      <c r="H214" s="74"/>
      <c r="I214" s="74"/>
      <c r="J214" s="74"/>
      <c r="K214" s="52"/>
      <c r="L214" s="52"/>
    </row>
    <row r="215" customHeight="1" spans="1:12">
      <c r="A215" s="58"/>
      <c r="B215" s="59"/>
      <c r="C215" s="75"/>
      <c r="D215" s="75"/>
      <c r="E215" s="75"/>
      <c r="F215" s="75"/>
      <c r="G215" s="75"/>
      <c r="H215" s="75"/>
      <c r="I215" s="75"/>
      <c r="J215" s="75"/>
      <c r="K215" s="52"/>
      <c r="L215" s="52"/>
    </row>
    <row r="216" customHeight="1" spans="1:12">
      <c r="A216" s="58"/>
      <c r="B216" s="59"/>
      <c r="C216" s="75"/>
      <c r="D216" s="75"/>
      <c r="E216" s="75"/>
      <c r="F216" s="75"/>
      <c r="G216" s="75"/>
      <c r="H216" s="75"/>
      <c r="I216" s="75"/>
      <c r="J216" s="75"/>
      <c r="K216" s="52"/>
      <c r="L216" s="52"/>
    </row>
    <row r="217" customHeight="1" spans="1:12">
      <c r="A217" s="58"/>
      <c r="B217" s="59"/>
      <c r="C217" s="75"/>
      <c r="D217" s="75"/>
      <c r="E217" s="75"/>
      <c r="F217" s="75"/>
      <c r="G217" s="75"/>
      <c r="H217" s="75"/>
      <c r="I217" s="75"/>
      <c r="J217" s="75"/>
      <c r="K217" s="52"/>
      <c r="L217" s="52"/>
    </row>
    <row r="218" customHeight="1" spans="1:12">
      <c r="A218" s="58"/>
      <c r="B218" s="59"/>
      <c r="C218" s="75"/>
      <c r="D218" s="75"/>
      <c r="E218" s="75"/>
      <c r="F218" s="75"/>
      <c r="G218" s="75"/>
      <c r="H218" s="75"/>
      <c r="I218" s="75"/>
      <c r="J218" s="75"/>
      <c r="K218" s="52"/>
      <c r="L218" s="52"/>
    </row>
    <row r="219" customHeight="1" spans="1:12">
      <c r="A219" s="58"/>
      <c r="B219" s="59"/>
      <c r="C219" s="75"/>
      <c r="D219" s="75"/>
      <c r="E219" s="75"/>
      <c r="F219" s="75"/>
      <c r="G219" s="75"/>
      <c r="H219" s="75"/>
      <c r="I219" s="75"/>
      <c r="J219" s="75"/>
      <c r="K219" s="52"/>
      <c r="L219" s="52"/>
    </row>
    <row r="220" customHeight="1" spans="1:12">
      <c r="A220" s="58"/>
      <c r="B220" s="59"/>
      <c r="C220" s="75"/>
      <c r="D220" s="75"/>
      <c r="E220" s="75"/>
      <c r="F220" s="75"/>
      <c r="G220" s="75"/>
      <c r="H220" s="75"/>
      <c r="I220" s="75"/>
      <c r="J220" s="75"/>
      <c r="K220" s="52"/>
      <c r="L220" s="52"/>
    </row>
    <row r="221" customHeight="1" spans="1:12">
      <c r="A221" s="58"/>
      <c r="B221" s="59"/>
      <c r="C221" s="75"/>
      <c r="D221" s="75"/>
      <c r="E221" s="75"/>
      <c r="F221" s="75"/>
      <c r="G221" s="75"/>
      <c r="H221" s="75"/>
      <c r="I221" s="75"/>
      <c r="J221" s="75"/>
      <c r="K221" s="52"/>
      <c r="L221" s="52"/>
    </row>
    <row r="222" customHeight="1" spans="1:12">
      <c r="A222" s="58"/>
      <c r="B222" s="59"/>
      <c r="C222" s="75"/>
      <c r="D222" s="75"/>
      <c r="E222" s="75"/>
      <c r="F222" s="75"/>
      <c r="G222" s="75"/>
      <c r="H222" s="75"/>
      <c r="I222" s="75"/>
      <c r="J222" s="75"/>
      <c r="K222" s="52"/>
      <c r="L222" s="52"/>
    </row>
    <row r="223" customHeight="1" spans="1:12">
      <c r="A223" s="58"/>
      <c r="B223" s="59"/>
      <c r="C223" s="75"/>
      <c r="D223" s="75"/>
      <c r="E223" s="75"/>
      <c r="F223" s="75"/>
      <c r="G223" s="75"/>
      <c r="H223" s="75"/>
      <c r="I223" s="75"/>
      <c r="J223" s="75"/>
      <c r="K223" s="52"/>
      <c r="L223" s="52"/>
    </row>
    <row r="224" customHeight="1" spans="1:12">
      <c r="A224" s="58"/>
      <c r="B224" s="59"/>
      <c r="C224" s="75"/>
      <c r="D224" s="75"/>
      <c r="E224" s="75"/>
      <c r="F224" s="75"/>
      <c r="G224" s="75"/>
      <c r="H224" s="75"/>
      <c r="I224" s="75"/>
      <c r="J224" s="75"/>
      <c r="K224" s="52"/>
      <c r="L224" s="52"/>
    </row>
    <row r="225" customHeight="1" spans="1:12">
      <c r="A225" s="58"/>
      <c r="B225" s="59"/>
      <c r="C225" s="75"/>
      <c r="D225" s="75"/>
      <c r="E225" s="75"/>
      <c r="F225" s="75"/>
      <c r="G225" s="75"/>
      <c r="H225" s="75"/>
      <c r="I225" s="75"/>
      <c r="J225" s="75"/>
      <c r="K225" s="52"/>
      <c r="L225" s="52"/>
    </row>
    <row r="226" customHeight="1" spans="1:12">
      <c r="A226" s="58"/>
      <c r="B226" s="59"/>
      <c r="C226" s="75"/>
      <c r="D226" s="75"/>
      <c r="E226" s="75"/>
      <c r="F226" s="75"/>
      <c r="G226" s="75"/>
      <c r="H226" s="75"/>
      <c r="I226" s="75"/>
      <c r="J226" s="75"/>
      <c r="K226" s="52"/>
      <c r="L226" s="52"/>
    </row>
    <row r="227" customHeight="1" spans="1:12">
      <c r="A227" s="58"/>
      <c r="B227" s="59"/>
      <c r="C227" s="75"/>
      <c r="D227" s="75"/>
      <c r="E227" s="75"/>
      <c r="F227" s="75"/>
      <c r="G227" s="75"/>
      <c r="H227" s="75"/>
      <c r="I227" s="75"/>
      <c r="J227" s="75"/>
      <c r="K227" s="52"/>
      <c r="L227" s="52"/>
    </row>
    <row r="228" customHeight="1" spans="1:12">
      <c r="A228" s="58"/>
      <c r="B228" s="59"/>
      <c r="C228" s="75"/>
      <c r="D228" s="75"/>
      <c r="E228" s="75"/>
      <c r="F228" s="75"/>
      <c r="G228" s="75"/>
      <c r="H228" s="75"/>
      <c r="I228" s="75"/>
      <c r="J228" s="75"/>
      <c r="K228" s="52"/>
      <c r="L228" s="52"/>
    </row>
    <row r="229" customHeight="1" spans="1:12">
      <c r="A229" s="58"/>
      <c r="B229" s="59"/>
      <c r="C229" s="75"/>
      <c r="D229" s="75"/>
      <c r="E229" s="75"/>
      <c r="F229" s="75"/>
      <c r="G229" s="75"/>
      <c r="H229" s="75"/>
      <c r="I229" s="75"/>
      <c r="J229" s="75"/>
      <c r="K229" s="52"/>
      <c r="L229" s="52"/>
    </row>
    <row r="230" customHeight="1" spans="1:12">
      <c r="A230" s="58"/>
      <c r="B230" s="59"/>
      <c r="C230" s="75"/>
      <c r="D230" s="75"/>
      <c r="E230" s="75"/>
      <c r="F230" s="75"/>
      <c r="G230" s="75"/>
      <c r="H230" s="75"/>
      <c r="I230" s="75"/>
      <c r="J230" s="75"/>
      <c r="K230" s="52"/>
      <c r="L230" s="52"/>
    </row>
    <row r="231" customHeight="1" spans="1:12">
      <c r="A231" s="58"/>
      <c r="B231" s="59"/>
      <c r="C231" s="75"/>
      <c r="D231" s="75"/>
      <c r="E231" s="75"/>
      <c r="F231" s="75"/>
      <c r="G231" s="75"/>
      <c r="H231" s="75"/>
      <c r="I231" s="75"/>
      <c r="J231" s="75"/>
      <c r="K231" s="52"/>
      <c r="L231" s="52"/>
    </row>
    <row r="232" customHeight="1" spans="1:12">
      <c r="A232" s="58"/>
      <c r="B232" s="59"/>
      <c r="C232" s="75"/>
      <c r="D232" s="75"/>
      <c r="E232" s="75"/>
      <c r="F232" s="75"/>
      <c r="G232" s="75"/>
      <c r="H232" s="75"/>
      <c r="I232" s="75"/>
      <c r="J232" s="75"/>
      <c r="K232" s="52"/>
      <c r="L232" s="52"/>
    </row>
    <row r="233" customHeight="1" spans="1:12">
      <c r="A233" s="58"/>
      <c r="B233" s="59"/>
      <c r="C233" s="75"/>
      <c r="D233" s="75"/>
      <c r="E233" s="75"/>
      <c r="F233" s="75"/>
      <c r="G233" s="75"/>
      <c r="H233" s="75"/>
      <c r="I233" s="75"/>
      <c r="J233" s="75"/>
      <c r="K233" s="52"/>
      <c r="L233" s="52"/>
    </row>
    <row r="234" customHeight="1" spans="1:12">
      <c r="A234" s="58"/>
      <c r="B234" s="59"/>
      <c r="C234" s="75"/>
      <c r="D234" s="75"/>
      <c r="E234" s="75"/>
      <c r="F234" s="75"/>
      <c r="G234" s="75"/>
      <c r="H234" s="75"/>
      <c r="I234" s="75"/>
      <c r="J234" s="75"/>
      <c r="K234" s="52"/>
      <c r="L234" s="52"/>
    </row>
    <row r="235" customHeight="1" spans="1:12">
      <c r="A235" s="58"/>
      <c r="B235" s="59"/>
      <c r="C235" s="75"/>
      <c r="D235" s="75"/>
      <c r="E235" s="75"/>
      <c r="F235" s="75"/>
      <c r="G235" s="75"/>
      <c r="H235" s="75"/>
      <c r="I235" s="75"/>
      <c r="J235" s="75"/>
      <c r="K235" s="52"/>
      <c r="L235" s="52"/>
    </row>
    <row r="236" customHeight="1" spans="1:10">
      <c r="A236" s="58"/>
      <c r="B236" s="59"/>
      <c r="C236" s="60"/>
      <c r="D236" s="60"/>
      <c r="E236" s="60"/>
      <c r="F236" s="60"/>
      <c r="G236" s="60"/>
      <c r="H236" s="60"/>
      <c r="I236" s="60"/>
      <c r="J236" s="60"/>
    </row>
    <row r="237" customHeight="1" spans="1:10">
      <c r="A237" s="58"/>
      <c r="B237" s="59"/>
      <c r="C237" s="60"/>
      <c r="D237" s="60"/>
      <c r="E237" s="60"/>
      <c r="F237" s="60"/>
      <c r="G237" s="60"/>
      <c r="H237" s="60"/>
      <c r="I237" s="60"/>
      <c r="J237" s="60"/>
    </row>
    <row r="238" customHeight="1" spans="1:10">
      <c r="A238" s="58"/>
      <c r="B238" s="59"/>
      <c r="C238" s="60"/>
      <c r="D238" s="60"/>
      <c r="E238" s="60"/>
      <c r="F238" s="60"/>
      <c r="G238" s="60"/>
      <c r="H238" s="60"/>
      <c r="I238" s="60"/>
      <c r="J238" s="60"/>
    </row>
    <row r="239" customHeight="1" spans="1:10">
      <c r="A239" s="58"/>
      <c r="B239" s="59"/>
      <c r="C239" s="60"/>
      <c r="D239" s="60"/>
      <c r="E239" s="60"/>
      <c r="F239" s="60"/>
      <c r="G239" s="60"/>
      <c r="H239" s="60"/>
      <c r="I239" s="60"/>
      <c r="J239" s="60"/>
    </row>
    <row r="240" customHeight="1" spans="1:10">
      <c r="A240" s="58"/>
      <c r="B240" s="59"/>
      <c r="C240" s="60"/>
      <c r="D240" s="60"/>
      <c r="E240" s="60"/>
      <c r="F240" s="60"/>
      <c r="G240" s="60"/>
      <c r="H240" s="60"/>
      <c r="I240" s="60"/>
      <c r="J240" s="60"/>
    </row>
    <row r="241" customHeight="1" spans="1:10">
      <c r="A241" s="58"/>
      <c r="B241" s="59"/>
      <c r="C241" s="60"/>
      <c r="D241" s="60"/>
      <c r="E241" s="60"/>
      <c r="F241" s="60"/>
      <c r="G241" s="60"/>
      <c r="H241" s="60"/>
      <c r="I241" s="60"/>
      <c r="J241" s="60"/>
    </row>
    <row r="242" customHeight="1" spans="1:10">
      <c r="A242" s="58"/>
      <c r="B242" s="59"/>
      <c r="C242" s="60"/>
      <c r="D242" s="60"/>
      <c r="E242" s="60"/>
      <c r="F242" s="60"/>
      <c r="G242" s="60"/>
      <c r="H242" s="60"/>
      <c r="I242" s="60"/>
      <c r="J242" s="60"/>
    </row>
    <row r="243" customHeight="1" spans="1:10">
      <c r="A243" s="58"/>
      <c r="B243" s="59"/>
      <c r="C243" s="60"/>
      <c r="D243" s="60"/>
      <c r="E243" s="60"/>
      <c r="F243" s="60"/>
      <c r="G243" s="60"/>
      <c r="H243" s="60"/>
      <c r="I243" s="60"/>
      <c r="J243" s="60"/>
    </row>
    <row r="244" customHeight="1" spans="1:10">
      <c r="A244" s="58"/>
      <c r="B244" s="59"/>
      <c r="C244" s="60"/>
      <c r="D244" s="60"/>
      <c r="E244" s="60"/>
      <c r="F244" s="60"/>
      <c r="G244" s="60"/>
      <c r="H244" s="60"/>
      <c r="I244" s="60"/>
      <c r="J244" s="60"/>
    </row>
    <row r="245" customHeight="1" spans="1:10">
      <c r="A245" s="58"/>
      <c r="B245" s="59"/>
      <c r="C245" s="60"/>
      <c r="D245" s="60"/>
      <c r="E245" s="60"/>
      <c r="F245" s="60"/>
      <c r="G245" s="60"/>
      <c r="H245" s="60"/>
      <c r="I245" s="60"/>
      <c r="J245" s="60"/>
    </row>
    <row r="246" customHeight="1" spans="1:10">
      <c r="A246" s="58"/>
      <c r="B246" s="59"/>
      <c r="C246" s="60"/>
      <c r="D246" s="60"/>
      <c r="E246" s="60"/>
      <c r="F246" s="60"/>
      <c r="G246" s="60"/>
      <c r="H246" s="60"/>
      <c r="I246" s="60"/>
      <c r="J246" s="60"/>
    </row>
    <row r="247" customHeight="1" spans="1:10">
      <c r="A247" s="58"/>
      <c r="B247" s="59"/>
      <c r="C247" s="60"/>
      <c r="D247" s="60"/>
      <c r="E247" s="60"/>
      <c r="F247" s="60"/>
      <c r="G247" s="60"/>
      <c r="H247" s="60"/>
      <c r="I247" s="60"/>
      <c r="J247" s="60"/>
    </row>
    <row r="248" customHeight="1" spans="1:10">
      <c r="A248" s="58"/>
      <c r="B248" s="59"/>
      <c r="C248" s="60"/>
      <c r="D248" s="60"/>
      <c r="E248" s="60"/>
      <c r="F248" s="60"/>
      <c r="G248" s="60"/>
      <c r="H248" s="60"/>
      <c r="I248" s="60"/>
      <c r="J248" s="60"/>
    </row>
    <row r="249" customHeight="1" spans="1:10">
      <c r="A249" s="58"/>
      <c r="B249" s="59"/>
      <c r="C249" s="60"/>
      <c r="D249" s="60"/>
      <c r="E249" s="60"/>
      <c r="F249" s="60"/>
      <c r="G249" s="60"/>
      <c r="H249" s="60"/>
      <c r="I249" s="60"/>
      <c r="J249" s="60"/>
    </row>
    <row r="250" customHeight="1" spans="1:10">
      <c r="A250" s="58"/>
      <c r="B250" s="59"/>
      <c r="C250" s="23"/>
      <c r="D250" s="23"/>
      <c r="E250" s="23"/>
      <c r="F250" s="23"/>
      <c r="G250" s="23"/>
      <c r="H250" s="23"/>
      <c r="I250" s="23"/>
      <c r="J250" s="23"/>
    </row>
    <row r="251" customHeight="1" spans="1:10">
      <c r="A251" s="58"/>
      <c r="B251" s="59"/>
      <c r="C251" s="23"/>
      <c r="D251" s="23"/>
      <c r="E251" s="23"/>
      <c r="F251" s="23"/>
      <c r="G251" s="23"/>
      <c r="H251" s="23"/>
      <c r="I251" s="23"/>
      <c r="J251" s="23"/>
    </row>
    <row r="252" customHeight="1" spans="1:10">
      <c r="A252" s="58"/>
      <c r="B252" s="59"/>
      <c r="C252" s="23"/>
      <c r="D252" s="23"/>
      <c r="E252" s="23"/>
      <c r="F252" s="23"/>
      <c r="G252" s="23"/>
      <c r="H252" s="23"/>
      <c r="I252" s="23"/>
      <c r="J252" s="23"/>
    </row>
    <row r="253" customHeight="1" spans="1:10">
      <c r="A253" s="58"/>
      <c r="B253" s="59"/>
      <c r="C253" s="23"/>
      <c r="D253" s="23"/>
      <c r="E253" s="23"/>
      <c r="F253" s="23"/>
      <c r="G253" s="23"/>
      <c r="H253" s="23"/>
      <c r="I253" s="23"/>
      <c r="J253" s="23"/>
    </row>
    <row r="254" customHeight="1" spans="1:10">
      <c r="A254" s="58"/>
      <c r="B254" s="59"/>
      <c r="C254" s="23"/>
      <c r="D254" s="23"/>
      <c r="E254" s="23"/>
      <c r="F254" s="23"/>
      <c r="G254" s="23"/>
      <c r="H254" s="23"/>
      <c r="I254" s="23"/>
      <c r="J254" s="23"/>
    </row>
    <row r="255" customHeight="1" spans="1:10">
      <c r="A255" s="58"/>
      <c r="B255" s="59"/>
      <c r="C255" s="23"/>
      <c r="D255" s="23"/>
      <c r="E255" s="23"/>
      <c r="F255" s="23"/>
      <c r="G255" s="23"/>
      <c r="H255" s="23"/>
      <c r="I255" s="23"/>
      <c r="J255" s="23"/>
    </row>
    <row r="256" customHeight="1" spans="1:10">
      <c r="A256" s="58"/>
      <c r="B256" s="59"/>
      <c r="C256" s="23"/>
      <c r="D256" s="23"/>
      <c r="E256" s="23"/>
      <c r="F256" s="23"/>
      <c r="G256" s="23"/>
      <c r="H256" s="23"/>
      <c r="I256" s="23"/>
      <c r="J256" s="23"/>
    </row>
    <row r="257" customHeight="1" spans="1:10">
      <c r="A257" s="58"/>
      <c r="B257" s="59"/>
      <c r="C257" s="23"/>
      <c r="D257" s="23"/>
      <c r="E257" s="23"/>
      <c r="F257" s="23"/>
      <c r="G257" s="23"/>
      <c r="H257" s="23"/>
      <c r="I257" s="23"/>
      <c r="J257" s="23"/>
    </row>
    <row r="258" customHeight="1" spans="1:10">
      <c r="A258" s="58"/>
      <c r="B258" s="59"/>
      <c r="C258" s="23"/>
      <c r="D258" s="23"/>
      <c r="E258" s="23"/>
      <c r="F258" s="23"/>
      <c r="G258" s="23"/>
      <c r="H258" s="23"/>
      <c r="I258" s="23"/>
      <c r="J258" s="23"/>
    </row>
    <row r="259" customHeight="1" spans="1:10">
      <c r="A259" s="58"/>
      <c r="B259" s="59"/>
      <c r="C259" s="23"/>
      <c r="D259" s="23"/>
      <c r="E259" s="23"/>
      <c r="F259" s="23"/>
      <c r="G259" s="23"/>
      <c r="H259" s="23"/>
      <c r="I259" s="23"/>
      <c r="J259" s="23"/>
    </row>
    <row r="260" customHeight="1" spans="1:10">
      <c r="A260" s="58"/>
      <c r="B260" s="59"/>
      <c r="C260" s="23"/>
      <c r="D260" s="23"/>
      <c r="E260" s="23"/>
      <c r="F260" s="23"/>
      <c r="G260" s="23"/>
      <c r="H260" s="23"/>
      <c r="I260" s="23"/>
      <c r="J260" s="23"/>
    </row>
    <row r="261" customHeight="1" spans="1:10">
      <c r="A261" s="58"/>
      <c r="B261" s="59"/>
      <c r="C261" s="23"/>
      <c r="D261" s="23"/>
      <c r="E261" s="23"/>
      <c r="F261" s="23"/>
      <c r="G261" s="23"/>
      <c r="H261" s="23"/>
      <c r="I261" s="23"/>
      <c r="J261" s="23"/>
    </row>
    <row r="262" customHeight="1" spans="1:10">
      <c r="A262" s="58"/>
      <c r="B262" s="59"/>
      <c r="C262" s="23"/>
      <c r="D262" s="23"/>
      <c r="E262" s="23"/>
      <c r="F262" s="23"/>
      <c r="G262" s="23"/>
      <c r="H262" s="23"/>
      <c r="I262" s="23"/>
      <c r="J262" s="23"/>
    </row>
    <row r="263" customHeight="1" spans="1:10">
      <c r="A263" s="58"/>
      <c r="B263" s="59"/>
      <c r="C263" s="23"/>
      <c r="D263" s="23"/>
      <c r="E263" s="23"/>
      <c r="F263" s="23"/>
      <c r="G263" s="23"/>
      <c r="H263" s="23"/>
      <c r="I263" s="23"/>
      <c r="J263" s="23"/>
    </row>
    <row r="264" customHeight="1" spans="1:10">
      <c r="A264" s="58"/>
      <c r="B264" s="59"/>
      <c r="C264" s="23"/>
      <c r="D264" s="23"/>
      <c r="E264" s="23"/>
      <c r="F264" s="23"/>
      <c r="G264" s="23"/>
      <c r="H264" s="23"/>
      <c r="I264" s="23"/>
      <c r="J264" s="23"/>
    </row>
    <row r="265" customHeight="1" spans="1:10">
      <c r="A265" s="58"/>
      <c r="B265" s="59"/>
      <c r="C265" s="23"/>
      <c r="D265" s="23"/>
      <c r="E265" s="23"/>
      <c r="F265" s="23"/>
      <c r="G265" s="23"/>
      <c r="H265" s="23"/>
      <c r="I265" s="23"/>
      <c r="J265" s="23"/>
    </row>
    <row r="266" customHeight="1" spans="1:10">
      <c r="A266" s="58"/>
      <c r="B266" s="59"/>
      <c r="C266" s="23"/>
      <c r="D266" s="23"/>
      <c r="E266" s="23"/>
      <c r="F266" s="23"/>
      <c r="G266" s="23"/>
      <c r="H266" s="23"/>
      <c r="I266" s="23"/>
      <c r="J266" s="23"/>
    </row>
    <row r="267" customHeight="1" spans="1:10">
      <c r="A267" s="58"/>
      <c r="B267" s="59"/>
      <c r="C267" s="23"/>
      <c r="D267" s="23"/>
      <c r="E267" s="23"/>
      <c r="F267" s="23"/>
      <c r="G267" s="23"/>
      <c r="H267" s="23"/>
      <c r="I267" s="23"/>
      <c r="J267" s="23"/>
    </row>
    <row r="268" customHeight="1" spans="1:10">
      <c r="A268" s="58"/>
      <c r="B268" s="59"/>
      <c r="C268" s="23"/>
      <c r="D268" s="23"/>
      <c r="E268" s="23"/>
      <c r="F268" s="23"/>
      <c r="G268" s="23"/>
      <c r="H268" s="23"/>
      <c r="I268" s="23"/>
      <c r="J268" s="23"/>
    </row>
    <row r="269" customHeight="1" spans="1:10">
      <c r="A269" s="58"/>
      <c r="B269" s="59"/>
      <c r="C269" s="23"/>
      <c r="D269" s="23"/>
      <c r="E269" s="23"/>
      <c r="F269" s="23"/>
      <c r="G269" s="23"/>
      <c r="H269" s="23"/>
      <c r="I269" s="23"/>
      <c r="J269" s="23"/>
    </row>
    <row r="270" customHeight="1" spans="1:10">
      <c r="A270" s="58"/>
      <c r="B270" s="59"/>
      <c r="C270" s="23"/>
      <c r="D270" s="23"/>
      <c r="E270" s="23"/>
      <c r="F270" s="23"/>
      <c r="G270" s="23"/>
      <c r="H270" s="23"/>
      <c r="I270" s="23"/>
      <c r="J270" s="23"/>
    </row>
    <row r="271" customHeight="1" spans="1:10">
      <c r="A271" s="58"/>
      <c r="B271" s="59"/>
      <c r="C271" s="23"/>
      <c r="D271" s="23"/>
      <c r="E271" s="23"/>
      <c r="F271" s="23"/>
      <c r="G271" s="23"/>
      <c r="H271" s="23"/>
      <c r="I271" s="23"/>
      <c r="J271" s="23"/>
    </row>
    <row r="272" customHeight="1" spans="1:10">
      <c r="A272" s="58"/>
      <c r="B272" s="59"/>
      <c r="C272" s="23"/>
      <c r="D272" s="23"/>
      <c r="E272" s="23"/>
      <c r="F272" s="23"/>
      <c r="G272" s="23"/>
      <c r="H272" s="23"/>
      <c r="I272" s="23"/>
      <c r="J272" s="23"/>
    </row>
    <row r="273" customHeight="1" spans="1:10">
      <c r="A273" s="58"/>
      <c r="B273" s="59"/>
      <c r="C273" s="23"/>
      <c r="D273" s="23"/>
      <c r="E273" s="23"/>
      <c r="F273" s="23"/>
      <c r="G273" s="23"/>
      <c r="H273" s="23"/>
      <c r="I273" s="23"/>
      <c r="J273" s="23"/>
    </row>
    <row r="274" customHeight="1" spans="1:10">
      <c r="A274" s="58"/>
      <c r="B274" s="59"/>
      <c r="C274" s="23"/>
      <c r="D274" s="23"/>
      <c r="E274" s="23"/>
      <c r="F274" s="23"/>
      <c r="G274" s="23"/>
      <c r="H274" s="23"/>
      <c r="I274" s="23"/>
      <c r="J274" s="23"/>
    </row>
    <row r="275" customHeight="1" spans="1:10">
      <c r="A275" s="86"/>
      <c r="B275" s="87"/>
      <c r="C275" s="88"/>
      <c r="D275" s="88"/>
      <c r="E275" s="88"/>
      <c r="F275" s="88"/>
      <c r="G275" s="88"/>
      <c r="H275" s="88"/>
      <c r="I275" s="88"/>
      <c r="J275" s="88"/>
    </row>
    <row r="276" customHeight="1" spans="1:10">
      <c r="A276" s="58"/>
      <c r="B276" s="81"/>
      <c r="C276" s="81"/>
      <c r="D276" s="60"/>
      <c r="E276" s="60"/>
      <c r="F276" s="81"/>
      <c r="G276" s="60"/>
      <c r="H276" s="60"/>
      <c r="I276" s="60"/>
      <c r="J276" s="60"/>
    </row>
    <row r="277" customHeight="1" spans="1:10">
      <c r="A277" s="58"/>
      <c r="B277" s="81"/>
      <c r="C277" s="81"/>
      <c r="D277" s="60"/>
      <c r="E277" s="60"/>
      <c r="F277" s="60"/>
      <c r="G277" s="60"/>
      <c r="H277" s="60"/>
      <c r="I277" s="60"/>
      <c r="J277" s="60"/>
    </row>
    <row r="278" customHeight="1" spans="1:10">
      <c r="A278" s="58"/>
      <c r="B278" s="59"/>
      <c r="C278" s="60"/>
      <c r="D278" s="60"/>
      <c r="E278" s="60"/>
      <c r="F278" s="60"/>
      <c r="G278" s="60"/>
      <c r="H278" s="60"/>
      <c r="I278" s="60"/>
      <c r="J278" s="60"/>
    </row>
    <row r="279" customHeight="1" spans="1:10">
      <c r="A279" s="58"/>
      <c r="B279" s="59"/>
      <c r="C279" s="60"/>
      <c r="D279" s="60"/>
      <c r="E279" s="60"/>
      <c r="F279" s="60"/>
      <c r="G279" s="60"/>
      <c r="H279" s="60"/>
      <c r="I279" s="60"/>
      <c r="J279" s="60"/>
    </row>
    <row r="280" customHeight="1" spans="1:10">
      <c r="A280" s="58"/>
      <c r="B280" s="59"/>
      <c r="C280" s="60"/>
      <c r="D280" s="60"/>
      <c r="E280" s="60"/>
      <c r="F280" s="60"/>
      <c r="G280" s="60"/>
      <c r="H280" s="60"/>
      <c r="I280" s="60"/>
      <c r="J280" s="60"/>
    </row>
    <row r="281" customHeight="1" spans="1:10">
      <c r="A281" s="58"/>
      <c r="B281" s="59"/>
      <c r="C281" s="60"/>
      <c r="D281" s="60"/>
      <c r="E281" s="60"/>
      <c r="F281" s="60"/>
      <c r="G281" s="60"/>
      <c r="H281" s="60"/>
      <c r="I281" s="60"/>
      <c r="J281" s="60"/>
    </row>
    <row r="282" customHeight="1" spans="1:10">
      <c r="A282" s="58"/>
      <c r="B282" s="59"/>
      <c r="C282" s="60"/>
      <c r="D282" s="60"/>
      <c r="E282" s="60"/>
      <c r="F282" s="60"/>
      <c r="G282" s="60"/>
      <c r="H282" s="60"/>
      <c r="I282" s="60"/>
      <c r="J282" s="60"/>
    </row>
    <row r="283" customHeight="1" spans="1:10">
      <c r="A283" s="58"/>
      <c r="B283" s="59"/>
      <c r="C283" s="60"/>
      <c r="D283" s="60"/>
      <c r="E283" s="60"/>
      <c r="F283" s="60"/>
      <c r="G283" s="60"/>
      <c r="H283" s="60"/>
      <c r="I283" s="60"/>
      <c r="J283" s="60"/>
    </row>
    <row r="284" customHeight="1" spans="1:10">
      <c r="A284" s="58"/>
      <c r="B284" s="59"/>
      <c r="C284" s="60"/>
      <c r="D284" s="60"/>
      <c r="E284" s="60"/>
      <c r="F284" s="60"/>
      <c r="G284" s="60"/>
      <c r="H284" s="60"/>
      <c r="I284" s="60"/>
      <c r="J284" s="60"/>
    </row>
    <row r="285" customHeight="1" spans="1:10">
      <c r="A285" s="58"/>
      <c r="B285" s="59"/>
      <c r="C285" s="60"/>
      <c r="D285" s="60"/>
      <c r="E285" s="60"/>
      <c r="F285" s="60"/>
      <c r="G285" s="60"/>
      <c r="H285" s="60"/>
      <c r="I285" s="60"/>
      <c r="J285" s="60"/>
    </row>
    <row r="286" customHeight="1" spans="1:10">
      <c r="A286" s="58"/>
      <c r="B286" s="59"/>
      <c r="C286" s="60"/>
      <c r="D286" s="60"/>
      <c r="E286" s="60"/>
      <c r="F286" s="60"/>
      <c r="G286" s="60"/>
      <c r="H286" s="60"/>
      <c r="I286" s="60"/>
      <c r="J286" s="60"/>
    </row>
    <row r="287" customHeight="1" spans="1:10">
      <c r="A287" s="58"/>
      <c r="B287" s="59"/>
      <c r="C287" s="60"/>
      <c r="D287" s="60"/>
      <c r="E287" s="60"/>
      <c r="F287" s="60"/>
      <c r="G287" s="60"/>
      <c r="H287" s="60"/>
      <c r="I287" s="60"/>
      <c r="J287" s="60"/>
    </row>
    <row r="288" customHeight="1" spans="1:10">
      <c r="A288" s="58"/>
      <c r="B288" s="59"/>
      <c r="C288" s="60"/>
      <c r="D288" s="60"/>
      <c r="E288" s="60"/>
      <c r="F288" s="60"/>
      <c r="G288" s="60"/>
      <c r="H288" s="60"/>
      <c r="I288" s="60"/>
      <c r="J288" s="60"/>
    </row>
    <row r="289" customHeight="1" spans="1:10">
      <c r="A289" s="58"/>
      <c r="B289" s="59"/>
      <c r="C289" s="60"/>
      <c r="D289" s="60"/>
      <c r="E289" s="60"/>
      <c r="F289" s="60"/>
      <c r="G289" s="60"/>
      <c r="H289" s="60"/>
      <c r="I289" s="60"/>
      <c r="J289" s="60"/>
    </row>
    <row r="290" customHeight="1" spans="1:10">
      <c r="A290" s="58"/>
      <c r="B290" s="59"/>
      <c r="C290" s="60"/>
      <c r="D290" s="60"/>
      <c r="E290" s="60"/>
      <c r="F290" s="60"/>
      <c r="G290" s="60"/>
      <c r="H290" s="60"/>
      <c r="I290" s="60"/>
      <c r="J290" s="60"/>
    </row>
    <row r="291" customHeight="1" spans="1:10">
      <c r="A291" s="58"/>
      <c r="B291" s="59"/>
      <c r="C291" s="60"/>
      <c r="D291" s="60"/>
      <c r="E291" s="60"/>
      <c r="F291" s="60"/>
      <c r="G291" s="60"/>
      <c r="H291" s="60"/>
      <c r="I291" s="60"/>
      <c r="J291" s="60"/>
    </row>
    <row r="292" customHeight="1" spans="1:10">
      <c r="A292" s="58"/>
      <c r="B292" s="59"/>
      <c r="C292" s="60"/>
      <c r="D292" s="60"/>
      <c r="E292" s="60"/>
      <c r="F292" s="60"/>
      <c r="G292" s="60"/>
      <c r="H292" s="60"/>
      <c r="I292" s="60"/>
      <c r="J292" s="60"/>
    </row>
    <row r="293" customHeight="1" spans="1:10">
      <c r="A293" s="58"/>
      <c r="B293" s="59"/>
      <c r="C293" s="60"/>
      <c r="D293" s="60"/>
      <c r="E293" s="60"/>
      <c r="F293" s="60"/>
      <c r="G293" s="60"/>
      <c r="H293" s="60"/>
      <c r="I293" s="60"/>
      <c r="J293" s="60"/>
    </row>
    <row r="294" customHeight="1" spans="1:10">
      <c r="A294" s="58"/>
      <c r="B294" s="59"/>
      <c r="C294" s="60"/>
      <c r="D294" s="60"/>
      <c r="E294" s="60"/>
      <c r="F294" s="60"/>
      <c r="G294" s="60"/>
      <c r="H294" s="60"/>
      <c r="I294" s="60"/>
      <c r="J294" s="60"/>
    </row>
    <row r="295" customHeight="1" spans="1:10">
      <c r="A295" s="58"/>
      <c r="B295" s="59"/>
      <c r="C295" s="60"/>
      <c r="D295" s="60"/>
      <c r="E295" s="60"/>
      <c r="F295" s="60"/>
      <c r="G295" s="60"/>
      <c r="H295" s="60"/>
      <c r="I295" s="60"/>
      <c r="J295" s="60"/>
    </row>
    <row r="296" customHeight="1" spans="1:10">
      <c r="A296" s="58"/>
      <c r="B296" s="59"/>
      <c r="C296" s="60"/>
      <c r="D296" s="60"/>
      <c r="E296" s="60"/>
      <c r="F296" s="60"/>
      <c r="G296" s="60"/>
      <c r="H296" s="60"/>
      <c r="I296" s="60"/>
      <c r="J296" s="60"/>
    </row>
    <row r="297" customHeight="1" spans="1:10">
      <c r="A297" s="58"/>
      <c r="B297" s="59"/>
      <c r="C297" s="60"/>
      <c r="D297" s="60"/>
      <c r="E297" s="60"/>
      <c r="F297" s="60"/>
      <c r="G297" s="60"/>
      <c r="H297" s="60"/>
      <c r="I297" s="60"/>
      <c r="J297" s="60"/>
    </row>
    <row r="298" customHeight="1" spans="1:10">
      <c r="A298" s="58"/>
      <c r="B298" s="59"/>
      <c r="C298" s="60"/>
      <c r="D298" s="60"/>
      <c r="E298" s="60"/>
      <c r="F298" s="60"/>
      <c r="G298" s="60"/>
      <c r="H298" s="60"/>
      <c r="I298" s="60"/>
      <c r="J298" s="60"/>
    </row>
    <row r="299" customHeight="1" spans="1:10">
      <c r="A299" s="58"/>
      <c r="B299" s="59"/>
      <c r="C299" s="60"/>
      <c r="D299" s="60"/>
      <c r="E299" s="60"/>
      <c r="F299" s="60"/>
      <c r="G299" s="60"/>
      <c r="H299" s="60"/>
      <c r="I299" s="60"/>
      <c r="J299" s="60"/>
    </row>
    <row r="300" customHeight="1" spans="1:10">
      <c r="A300" s="58"/>
      <c r="B300" s="59"/>
      <c r="C300" s="60"/>
      <c r="D300" s="60"/>
      <c r="E300" s="60"/>
      <c r="F300" s="60"/>
      <c r="G300" s="60"/>
      <c r="H300" s="60"/>
      <c r="I300" s="60"/>
      <c r="J300" s="60"/>
    </row>
    <row r="301" customHeight="1" spans="1:10">
      <c r="A301" s="58"/>
      <c r="B301" s="59"/>
      <c r="C301" s="60"/>
      <c r="D301" s="60"/>
      <c r="E301" s="60"/>
      <c r="F301" s="60"/>
      <c r="G301" s="60"/>
      <c r="H301" s="60"/>
      <c r="I301" s="60"/>
      <c r="J301" s="60"/>
    </row>
    <row r="302" customHeight="1" spans="1:10">
      <c r="A302" s="58"/>
      <c r="B302" s="59"/>
      <c r="C302" s="60"/>
      <c r="D302" s="60"/>
      <c r="E302" s="60"/>
      <c r="F302" s="60"/>
      <c r="G302" s="60"/>
      <c r="H302" s="60"/>
      <c r="I302" s="60"/>
      <c r="J302" s="60"/>
    </row>
    <row r="303" customHeight="1" spans="1:10">
      <c r="A303" s="58"/>
      <c r="B303" s="59"/>
      <c r="C303" s="60"/>
      <c r="D303" s="60"/>
      <c r="E303" s="60"/>
      <c r="F303" s="60"/>
      <c r="G303" s="60"/>
      <c r="H303" s="60"/>
      <c r="I303" s="60"/>
      <c r="J303" s="60"/>
    </row>
    <row r="304" customHeight="1" spans="1:10">
      <c r="A304" s="58"/>
      <c r="B304" s="59"/>
      <c r="C304" s="60"/>
      <c r="D304" s="60"/>
      <c r="E304" s="60"/>
      <c r="F304" s="60"/>
      <c r="G304" s="60"/>
      <c r="H304" s="60"/>
      <c r="I304" s="60"/>
      <c r="J304" s="60"/>
    </row>
    <row r="305" customHeight="1" spans="1:10">
      <c r="A305" s="58"/>
      <c r="B305" s="59"/>
      <c r="C305" s="60"/>
      <c r="D305" s="60"/>
      <c r="E305" s="60"/>
      <c r="F305" s="60"/>
      <c r="G305" s="60"/>
      <c r="H305" s="60"/>
      <c r="I305" s="60"/>
      <c r="J305" s="60"/>
    </row>
    <row r="306" customHeight="1" spans="1:10">
      <c r="A306" s="58"/>
      <c r="B306" s="59"/>
      <c r="C306" s="60"/>
      <c r="D306" s="60"/>
      <c r="E306" s="60"/>
      <c r="F306" s="60"/>
      <c r="G306" s="60"/>
      <c r="H306" s="60"/>
      <c r="I306" s="60"/>
      <c r="J306" s="60"/>
    </row>
    <row r="307" customHeight="1" spans="1:10">
      <c r="A307" s="58"/>
      <c r="B307" s="59"/>
      <c r="C307" s="60"/>
      <c r="D307" s="60"/>
      <c r="E307" s="60"/>
      <c r="F307" s="60"/>
      <c r="G307" s="60"/>
      <c r="H307" s="60"/>
      <c r="I307" s="60"/>
      <c r="J307" s="60"/>
    </row>
    <row r="308" customHeight="1" spans="1:10">
      <c r="A308" s="58"/>
      <c r="B308" s="59"/>
      <c r="C308" s="60"/>
      <c r="D308" s="60"/>
      <c r="E308" s="60"/>
      <c r="F308" s="60"/>
      <c r="G308" s="60"/>
      <c r="H308" s="60"/>
      <c r="I308" s="60"/>
      <c r="J308" s="60"/>
    </row>
    <row r="309" customHeight="1" spans="1:10">
      <c r="A309" s="58"/>
      <c r="B309" s="59"/>
      <c r="C309" s="60"/>
      <c r="D309" s="60"/>
      <c r="E309" s="60"/>
      <c r="F309" s="60"/>
      <c r="G309" s="60"/>
      <c r="H309" s="60"/>
      <c r="I309" s="60"/>
      <c r="J309" s="60"/>
    </row>
    <row r="310" customHeight="1" spans="1:10">
      <c r="A310" s="58"/>
      <c r="B310" s="59"/>
      <c r="C310" s="60"/>
      <c r="D310" s="60"/>
      <c r="E310" s="60"/>
      <c r="F310" s="60"/>
      <c r="G310" s="60"/>
      <c r="H310" s="60"/>
      <c r="I310" s="60"/>
      <c r="J310" s="60"/>
    </row>
    <row r="311" customHeight="1" spans="1:10">
      <c r="A311" s="58"/>
      <c r="B311" s="59"/>
      <c r="C311" s="23"/>
      <c r="D311" s="23"/>
      <c r="E311" s="23"/>
      <c r="F311" s="23"/>
      <c r="G311" s="23"/>
      <c r="H311" s="23"/>
      <c r="I311" s="23"/>
      <c r="J311" s="23"/>
    </row>
    <row r="312" customHeight="1" spans="1:10">
      <c r="A312" s="58"/>
      <c r="B312" s="59"/>
      <c r="C312" s="23"/>
      <c r="D312" s="23"/>
      <c r="E312" s="23"/>
      <c r="F312" s="23"/>
      <c r="G312" s="23"/>
      <c r="H312" s="23"/>
      <c r="I312" s="23"/>
      <c r="J312" s="23"/>
    </row>
    <row r="313" customHeight="1" spans="1:10">
      <c r="A313" s="58"/>
      <c r="B313" s="59"/>
      <c r="C313" s="23"/>
      <c r="D313" s="23"/>
      <c r="E313" s="23"/>
      <c r="F313" s="23"/>
      <c r="G313" s="23"/>
      <c r="H313" s="23"/>
      <c r="I313" s="23"/>
      <c r="J313" s="23"/>
    </row>
    <row r="314" customHeight="1" spans="1:10">
      <c r="A314" s="58"/>
      <c r="B314" s="59"/>
      <c r="C314" s="23"/>
      <c r="D314" s="23"/>
      <c r="E314" s="23"/>
      <c r="F314" s="23"/>
      <c r="G314" s="23"/>
      <c r="H314" s="23"/>
      <c r="I314" s="23"/>
      <c r="J314" s="23"/>
    </row>
    <row r="315" customHeight="1" spans="1:10">
      <c r="A315" s="58"/>
      <c r="B315" s="59"/>
      <c r="C315" s="23"/>
      <c r="D315" s="23"/>
      <c r="E315" s="23"/>
      <c r="F315" s="23"/>
      <c r="G315" s="23"/>
      <c r="H315" s="23"/>
      <c r="I315" s="23"/>
      <c r="J315" s="23"/>
    </row>
    <row r="316" customHeight="1" spans="1:10">
      <c r="A316" s="58"/>
      <c r="B316" s="59"/>
      <c r="C316" s="23"/>
      <c r="D316" s="23"/>
      <c r="E316" s="23"/>
      <c r="F316" s="23"/>
      <c r="G316" s="23"/>
      <c r="H316" s="23"/>
      <c r="I316" s="23"/>
      <c r="J316" s="23"/>
    </row>
    <row r="317" customHeight="1" spans="1:10">
      <c r="A317" s="58"/>
      <c r="B317" s="59"/>
      <c r="C317" s="23"/>
      <c r="D317" s="23"/>
      <c r="E317" s="23"/>
      <c r="F317" s="23"/>
      <c r="G317" s="23"/>
      <c r="H317" s="23"/>
      <c r="I317" s="23"/>
      <c r="J317" s="23"/>
    </row>
    <row r="318" customHeight="1" spans="1:10">
      <c r="A318" s="58"/>
      <c r="B318" s="59"/>
      <c r="C318" s="23"/>
      <c r="D318" s="23"/>
      <c r="E318" s="23"/>
      <c r="F318" s="23"/>
      <c r="G318" s="23"/>
      <c r="H318" s="23"/>
      <c r="I318" s="23"/>
      <c r="J318" s="23"/>
    </row>
    <row r="319" customHeight="1" spans="1:10">
      <c r="A319" s="58"/>
      <c r="B319" s="59"/>
      <c r="C319" s="23"/>
      <c r="D319" s="23"/>
      <c r="E319" s="23"/>
      <c r="F319" s="23"/>
      <c r="G319" s="23"/>
      <c r="H319" s="23"/>
      <c r="I319" s="23"/>
      <c r="J319" s="23"/>
    </row>
    <row r="320" customHeight="1" spans="1:10">
      <c r="A320" s="58"/>
      <c r="B320" s="59"/>
      <c r="C320" s="23"/>
      <c r="D320" s="23"/>
      <c r="E320" s="23"/>
      <c r="F320" s="23"/>
      <c r="G320" s="23"/>
      <c r="H320" s="23"/>
      <c r="I320" s="23"/>
      <c r="J320" s="23"/>
    </row>
    <row r="321" customHeight="1" spans="1:10">
      <c r="A321" s="58"/>
      <c r="B321" s="59"/>
      <c r="C321" s="23"/>
      <c r="D321" s="23"/>
      <c r="E321" s="23"/>
      <c r="F321" s="23"/>
      <c r="G321" s="23"/>
      <c r="H321" s="23"/>
      <c r="I321" s="23"/>
      <c r="J321" s="23"/>
    </row>
    <row r="322" customHeight="1" spans="1:10">
      <c r="A322" s="58"/>
      <c r="B322" s="59"/>
      <c r="C322" s="23"/>
      <c r="D322" s="23"/>
      <c r="E322" s="23"/>
      <c r="F322" s="23"/>
      <c r="G322" s="23"/>
      <c r="H322" s="23"/>
      <c r="I322" s="23"/>
      <c r="J322" s="23"/>
    </row>
    <row r="323" customHeight="1" spans="1:10">
      <c r="A323" s="58"/>
      <c r="B323" s="59"/>
      <c r="C323" s="81"/>
      <c r="D323" s="23"/>
      <c r="E323" s="23"/>
      <c r="F323" s="23"/>
      <c r="G323" s="23"/>
      <c r="H323" s="23"/>
      <c r="I323" s="23"/>
      <c r="J323" s="23"/>
    </row>
    <row r="324" customHeight="1" spans="1:10">
      <c r="A324" s="58"/>
      <c r="B324" s="81"/>
      <c r="C324" s="81"/>
      <c r="D324" s="23"/>
      <c r="E324" s="23"/>
      <c r="F324" s="23"/>
      <c r="G324" s="23"/>
      <c r="H324" s="23"/>
      <c r="I324" s="23"/>
      <c r="J324" s="23"/>
    </row>
    <row r="325" customHeight="1" spans="1:10">
      <c r="A325" s="58"/>
      <c r="B325" s="81"/>
      <c r="C325" s="81"/>
      <c r="D325" s="23"/>
      <c r="E325" s="23"/>
      <c r="F325" s="23"/>
      <c r="G325" s="23"/>
      <c r="H325" s="23"/>
      <c r="I325" s="23"/>
      <c r="J325" s="23"/>
    </row>
    <row r="326" customHeight="1" spans="1:10">
      <c r="A326" s="58"/>
      <c r="B326" s="81"/>
      <c r="C326" s="81"/>
      <c r="D326" s="23"/>
      <c r="E326" s="23"/>
      <c r="F326" s="23"/>
      <c r="G326" s="23"/>
      <c r="H326" s="23"/>
      <c r="I326" s="23"/>
      <c r="J326" s="23"/>
    </row>
    <row r="327" customHeight="1" spans="1:10">
      <c r="A327" s="58"/>
      <c r="B327" s="81"/>
      <c r="C327" s="81"/>
      <c r="D327" s="23"/>
      <c r="E327" s="23"/>
      <c r="F327" s="23"/>
      <c r="G327" s="23"/>
      <c r="H327" s="23"/>
      <c r="I327" s="23"/>
      <c r="J327" s="23"/>
    </row>
    <row r="328" customHeight="1" spans="1:10">
      <c r="A328" s="58"/>
      <c r="B328" s="81"/>
      <c r="C328" s="81"/>
      <c r="D328" s="23"/>
      <c r="E328" s="23"/>
      <c r="F328" s="81"/>
      <c r="G328" s="23"/>
      <c r="H328" s="23"/>
      <c r="I328" s="23"/>
      <c r="J328" s="23"/>
    </row>
    <row r="329" customHeight="1" spans="1:10">
      <c r="A329" s="58"/>
      <c r="B329" s="81"/>
      <c r="C329" s="81"/>
      <c r="D329" s="23"/>
      <c r="E329" s="23"/>
      <c r="F329" s="81"/>
      <c r="G329" s="23"/>
      <c r="H329" s="23"/>
      <c r="I329" s="23"/>
      <c r="J329" s="23"/>
    </row>
    <row r="330" customHeight="1" spans="1:10">
      <c r="A330" s="58"/>
      <c r="B330" s="81"/>
      <c r="C330" s="59"/>
      <c r="D330" s="81"/>
      <c r="E330" s="13"/>
      <c r="F330" s="81"/>
      <c r="G330" s="13"/>
      <c r="H330" s="13"/>
      <c r="I330" s="13"/>
      <c r="J330" s="13"/>
    </row>
    <row r="331" customHeight="1" spans="1:10">
      <c r="A331" s="58"/>
      <c r="B331" s="81"/>
      <c r="C331" s="81"/>
      <c r="D331" s="81"/>
      <c r="E331" s="13"/>
      <c r="F331" s="81"/>
      <c r="G331" s="13"/>
      <c r="H331" s="81"/>
      <c r="I331" s="59"/>
      <c r="J331" s="59"/>
    </row>
    <row r="332" customHeight="1" spans="1:10">
      <c r="A332" s="58"/>
      <c r="B332" s="81"/>
      <c r="C332" s="59"/>
      <c r="D332" s="81"/>
      <c r="E332" s="81"/>
      <c r="F332" s="81"/>
      <c r="G332" s="81"/>
      <c r="H332" s="81"/>
      <c r="I332" s="81"/>
      <c r="J332" s="81"/>
    </row>
    <row r="333" customHeight="1" spans="1:10">
      <c r="A333" s="58"/>
      <c r="B333" s="81"/>
      <c r="C333" s="89"/>
      <c r="D333" s="81"/>
      <c r="E333" s="81"/>
      <c r="F333" s="81"/>
      <c r="G333" s="81"/>
      <c r="H333" s="81"/>
      <c r="I333" s="81"/>
      <c r="J333" s="81"/>
    </row>
    <row r="334" customHeight="1" spans="1:10">
      <c r="A334" s="58"/>
      <c r="B334" s="59"/>
      <c r="C334" s="89"/>
      <c r="D334" s="81"/>
      <c r="E334" s="81"/>
      <c r="F334" s="81"/>
      <c r="G334" s="81"/>
      <c r="H334" s="81"/>
      <c r="I334" s="81"/>
      <c r="J334" s="81"/>
    </row>
    <row r="335" customHeight="1" spans="1:10">
      <c r="A335" s="58"/>
      <c r="B335" s="59"/>
      <c r="C335" s="59"/>
      <c r="D335" s="81"/>
      <c r="E335" s="81"/>
      <c r="F335" s="81"/>
      <c r="G335" s="81"/>
      <c r="H335" s="81"/>
      <c r="I335" s="81"/>
      <c r="J335" s="81"/>
    </row>
    <row r="336" customHeight="1" spans="1:10">
      <c r="A336" s="53"/>
      <c r="B336" s="3"/>
      <c r="C336" s="7"/>
      <c r="D336" s="7"/>
      <c r="E336" s="7"/>
      <c r="F336" s="7"/>
      <c r="G336" s="7"/>
      <c r="H336" s="7"/>
      <c r="I336" s="7"/>
      <c r="J336" s="7"/>
    </row>
    <row r="337" customHeight="1" spans="1:10">
      <c r="A337" s="90"/>
      <c r="B337" s="3"/>
      <c r="C337" s="7"/>
      <c r="D337" s="7"/>
      <c r="E337" s="7"/>
      <c r="F337" s="7"/>
      <c r="G337" s="7"/>
      <c r="H337" s="7"/>
      <c r="I337" s="7"/>
      <c r="J337" s="7"/>
    </row>
    <row r="338" customHeight="1" spans="1:10">
      <c r="A338" s="53"/>
      <c r="B338" s="3"/>
      <c r="C338" s="7"/>
      <c r="D338" s="7"/>
      <c r="E338" s="7"/>
      <c r="F338" s="7"/>
      <c r="G338" s="7"/>
      <c r="H338" s="7"/>
      <c r="I338" s="7"/>
      <c r="J338" s="7"/>
    </row>
    <row r="339" customHeight="1" spans="1:10">
      <c r="A339" s="53"/>
      <c r="B339" s="3"/>
      <c r="C339" s="7"/>
      <c r="D339" s="7"/>
      <c r="E339" s="7"/>
      <c r="F339" s="7"/>
      <c r="G339" s="7"/>
      <c r="H339" s="7"/>
      <c r="I339" s="7"/>
      <c r="J339" s="7"/>
    </row>
    <row r="340" customHeight="1" spans="1:10">
      <c r="A340" s="7"/>
      <c r="B340" s="4"/>
      <c r="C340" s="7"/>
      <c r="D340" s="7"/>
      <c r="E340" s="7"/>
      <c r="F340" s="7"/>
      <c r="G340" s="7"/>
      <c r="H340" s="7"/>
      <c r="I340" s="7"/>
      <c r="J340" s="7"/>
    </row>
    <row r="341" customHeight="1" spans="1:10">
      <c r="A341" s="91"/>
      <c r="B341" s="4"/>
      <c r="C341" s="7"/>
      <c r="D341" s="7"/>
      <c r="E341" s="7"/>
      <c r="F341" s="7"/>
      <c r="G341" s="7"/>
      <c r="H341" s="7"/>
      <c r="I341" s="7"/>
      <c r="J341" s="7"/>
    </row>
    <row r="342" customHeight="1" spans="1:10">
      <c r="A342" s="4"/>
      <c r="B342" s="4"/>
      <c r="C342" s="7"/>
      <c r="D342" s="7"/>
      <c r="E342" s="7"/>
      <c r="F342" s="7"/>
      <c r="G342" s="7"/>
      <c r="H342" s="7"/>
      <c r="I342" s="7"/>
      <c r="J342" s="7"/>
    </row>
    <row r="343" customHeight="1" spans="1:10">
      <c r="A343" s="92"/>
      <c r="B343" s="4"/>
      <c r="C343" s="7"/>
      <c r="D343" s="7"/>
      <c r="E343" s="7"/>
      <c r="F343" s="7"/>
      <c r="G343" s="7"/>
      <c r="H343" s="7"/>
      <c r="I343" s="7"/>
      <c r="J343" s="7"/>
    </row>
    <row r="344" customHeight="1" spans="1:10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customHeight="1" spans="1:10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customHeight="1" spans="1:10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customHeight="1" spans="1:10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customHeight="1" spans="1:10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customHeight="1" spans="1:10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customHeight="1" spans="1:10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customHeight="1" spans="1:10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customHeight="1" spans="1:10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customHeight="1" spans="1:10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customHeight="1" spans="1:10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customHeight="1" spans="1:10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customHeight="1" spans="1:10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customHeight="1" spans="1:10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customHeight="1" spans="1:10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customHeight="1" spans="1:10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customHeight="1" spans="1:10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customHeight="1" spans="1:10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customHeight="1" spans="1:10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customHeight="1" spans="1:10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customHeight="1" spans="1:10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customHeight="1" spans="1:10">
      <c r="A365" s="7"/>
      <c r="B365" s="7"/>
      <c r="C365" s="7"/>
      <c r="D365" s="7"/>
      <c r="E365" s="7"/>
      <c r="F365" s="7"/>
      <c r="G365" s="7"/>
      <c r="H365" s="7"/>
      <c r="I365" s="7"/>
      <c r="J365" s="7"/>
    </row>
  </sheetData>
  <conditionalFormatting sqref="L7 L18 L29 L40 L57 L67:L68">
    <cfRule type="cellIs" dxfId="0" priority="2" operator="between">
      <formula>-0.001</formula>
      <formula>0.001</formula>
    </cfRule>
    <cfRule type="cellIs" dxfId="1" priority="1" operator="between">
      <formula>-0.001</formula>
      <formula>0.001</formula>
    </cfRule>
    <cfRule type="cellIs" dxfId="1" priority="5" operator="between">
      <formula>-0.001</formula>
      <formula>1000</formula>
    </cfRule>
    <cfRule type="cellIs" dxfId="0" priority="8" operator="lessThan">
      <formula>0</formula>
    </cfRule>
    <cfRule type="cellIs" dxfId="0" priority="3" operator="lessThan">
      <formula>-0.001</formula>
    </cfRule>
    <cfRule type="cellIs" dxfId="2" priority="10" operator="greaterThan">
      <formula>0.001</formula>
    </cfRule>
    <cfRule type="cellIs" dxfId="2" priority="9" operator="greaterThan">
      <formula>0</formula>
    </cfRule>
    <cfRule type="cellIs" dxfId="2" priority="4" operator="greaterThan">
      <formula>0.001</formula>
    </cfRule>
    <cfRule type="cellIs" dxfId="0" priority="6" operator="lessThan">
      <formula>-0.001</formula>
    </cfRule>
    <cfRule type="cellIs" dxfId="2" priority="7" operator="greaterThan">
      <formula>0.001</formula>
    </cfRule>
  </conditionalFormatting>
  <pageMargins left="0.393700787401575" right="0.393700787401575" top="0.393700787401575" bottom="0.393700787401575" header="0.511811023622047" footer="0.511811023622047"/>
  <pageSetup paperSize="9" scale="98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BFS/OFS/UST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Save the AHV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Erwerbsquote und Erwerbsquoten in Vollzeitäquivalenten (VZÄ) nach Geschlecht, Nationalität und Alter</dc:title>
  <dc:creator>BFS/OFS/UST</dc:creator>
  <cp:lastModifiedBy>adkoprek</cp:lastModifiedBy>
  <dcterms:created xsi:type="dcterms:W3CDTF">2000-07-04T13:58:00Z</dcterms:created>
  <cp:lastPrinted>2018-05-24T17:47:00Z</cp:lastPrinted>
  <dcterms:modified xsi:type="dcterms:W3CDTF">2025-11-18T12:44:19Z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