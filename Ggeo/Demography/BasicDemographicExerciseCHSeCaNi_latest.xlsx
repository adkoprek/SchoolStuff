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date1904="1"/>
  <bookViews>
    <workbookView windowWidth="27795" windowHeight="12495" tabRatio="777" activeTab="4"/>
  </bookViews>
  <sheets>
    <sheet name="Switzerland" sheetId="1" r:id="rId1"/>
    <sheet name="California" sheetId="4" r:id="rId2"/>
    <sheet name="Nigeria" sheetId="2" r:id="rId3"/>
    <sheet name="Senegal" sheetId="3" r:id="rId4"/>
    <sheet name="Comparison" sheetId="5" r:id="rId5"/>
  </sheets>
  <calcPr calcId="144525"/>
</workbook>
</file>

<file path=xl/sharedStrings.xml><?xml version="1.0" encoding="utf-8"?>
<sst xmlns="http://schemas.openxmlformats.org/spreadsheetml/2006/main" count="69" uniqueCount="20">
  <si>
    <t>CH 2023</t>
  </si>
  <si>
    <t>mean annual population (residents)</t>
  </si>
  <si>
    <t>births</t>
  </si>
  <si>
    <t>deaths</t>
  </si>
  <si>
    <t>immigrants</t>
  </si>
  <si>
    <t>emigrants</t>
  </si>
  <si>
    <t>Total Population</t>
  </si>
  <si>
    <t>percentage (%)</t>
  </si>
  <si>
    <t>absolute numbers</t>
  </si>
  <si>
    <t>birth rate</t>
  </si>
  <si>
    <t>death rate</t>
  </si>
  <si>
    <t>natural increase</t>
  </si>
  <si>
    <t>immigr. rate</t>
  </si>
  <si>
    <t>emigr. rate</t>
  </si>
  <si>
    <t>net migration rate</t>
  </si>
  <si>
    <t>growth rate</t>
  </si>
  <si>
    <t>doubling time</t>
  </si>
  <si>
    <t>California 2023</t>
  </si>
  <si>
    <t>Nigeria 2023</t>
  </si>
  <si>
    <t>Senegal 2023</t>
  </si>
</sst>
</file>

<file path=xl/styles.xml><?xml version="1.0" encoding="utf-8"?>
<styleSheet xmlns="http://schemas.openxmlformats.org/spreadsheetml/2006/main">
  <numFmts count="6">
    <numFmt numFmtId="176" formatCode="#,##0.0"/>
    <numFmt numFmtId="177" formatCode="_ * #,##0_ ;_ * \-#,##0_ ;_ * &quot;-&quot;_ ;_ @_ "/>
    <numFmt numFmtId="178" formatCode="0.0%"/>
    <numFmt numFmtId="42" formatCode="_(&quot;$&quot;* #,##0_);_(&quot;$&quot;* \(#,##0\);_(&quot;$&quot;* &quot;-&quot;_);_(@_)"/>
    <numFmt numFmtId="179" formatCode="_ * #,##0.00_ ;_ * \-#,##0.00_ ;_ * &quot;-&quot;??_ ;_ @_ "/>
    <numFmt numFmtId="44" formatCode="_(&quot;$&quot;* #,##0.00_);_(&quot;$&quot;* \(#,##0.00\);_(&quot;$&quot;* &quot;-&quot;??_);_(@_)"/>
  </numFmts>
  <fonts count="26">
    <font>
      <sz val="12"/>
      <name val="Arial"/>
      <charset val="134"/>
    </font>
    <font>
      <sz val="14"/>
      <name val="Arial"/>
      <charset val="134"/>
    </font>
    <font>
      <b/>
      <sz val="12"/>
      <name val="Arial"/>
      <charset val="134"/>
    </font>
    <font>
      <b/>
      <sz val="14"/>
      <name val="Arial"/>
      <charset val="134"/>
    </font>
    <font>
      <sz val="11"/>
      <name val="Calibri"/>
      <charset val="134"/>
    </font>
    <font>
      <b/>
      <sz val="12"/>
      <color theme="0" tint="-0.349986266670736"/>
      <name val="Arial"/>
      <charset val="134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22"/>
        <bgColor indexed="31"/>
      </patternFill>
    </fill>
    <fill>
      <patternFill patternType="solid">
        <fgColor rgb="FFABEDD5"/>
        <bgColor indexed="64"/>
      </patternFill>
    </fill>
    <fill>
      <patternFill patternType="solid">
        <fgColor rgb="FFABEDD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</fills>
  <borders count="2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ck">
        <color indexed="8"/>
      </top>
      <bottom/>
      <diagonal/>
    </border>
    <border>
      <left/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/>
      <top style="thick">
        <color indexed="8"/>
      </top>
      <bottom/>
      <diagonal/>
    </border>
    <border>
      <left style="thick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ck">
        <color indexed="8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0" fontId="12" fillId="15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0" fillId="0" borderId="16" applyNumberFormat="0" applyFill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15" fillId="0" borderId="19" applyNumberFormat="0" applyFill="0" applyAlignment="0" applyProtection="0">
      <alignment vertical="center"/>
    </xf>
    <xf numFmtId="0" fontId="20" fillId="19" borderId="21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7" fillId="29" borderId="22" applyNumberFormat="0" applyFont="0" applyAlignment="0" applyProtection="0">
      <alignment vertical="center"/>
    </xf>
    <xf numFmtId="0" fontId="18" fillId="16" borderId="20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4" fillId="19" borderId="20" applyNumberFormat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3" fillId="0" borderId="1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8" fillId="5" borderId="15" applyNumberFormat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37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2" fillId="2" borderId="1" xfId="0" applyFont="1" applyFill="1" applyBorder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4" xfId="0" applyFont="1" applyFill="1" applyBorder="1"/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10" fontId="2" fillId="0" borderId="7" xfId="0" applyNumberFormat="1" applyFont="1" applyBorder="1" applyAlignment="1">
      <alignment vertical="center" wrapText="1"/>
    </xf>
    <xf numFmtId="2" fontId="0" fillId="0" borderId="0" xfId="0" applyNumberFormat="1"/>
    <xf numFmtId="1" fontId="0" fillId="0" borderId="0" xfId="0" applyNumberFormat="1"/>
    <xf numFmtId="2" fontId="0" fillId="0" borderId="8" xfId="0" applyNumberFormat="1" applyBorder="1"/>
    <xf numFmtId="0" fontId="2" fillId="2" borderId="9" xfId="0" applyFont="1" applyFill="1" applyBorder="1"/>
    <xf numFmtId="2" fontId="0" fillId="0" borderId="10" xfId="0" applyNumberFormat="1" applyBorder="1"/>
    <xf numFmtId="1" fontId="0" fillId="0" borderId="11" xfId="0" applyNumberFormat="1" applyBorder="1"/>
    <xf numFmtId="2" fontId="0" fillId="0" borderId="12" xfId="0" applyNumberFormat="1" applyBorder="1"/>
    <xf numFmtId="10" fontId="2" fillId="0" borderId="6" xfId="0" applyNumberFormat="1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1" fontId="0" fillId="0" borderId="13" xfId="0" applyNumberFormat="1" applyBorder="1"/>
    <xf numFmtId="1" fontId="0" fillId="0" borderId="14" xfId="0" applyNumberFormat="1" applyBorder="1"/>
    <xf numFmtId="0" fontId="2" fillId="0" borderId="0" xfId="0" applyFont="1"/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3" fontId="0" fillId="3" borderId="0" xfId="0" applyNumberFormat="1" applyFill="1" applyAlignment="1">
      <alignment horizontal="right"/>
    </xf>
    <xf numFmtId="0" fontId="4" fillId="4" borderId="0" xfId="0" applyFont="1" applyFill="1" applyAlignment="1">
      <alignment horizontal="right"/>
    </xf>
    <xf numFmtId="0" fontId="3" fillId="0" borderId="0" xfId="0" applyFont="1"/>
    <xf numFmtId="0" fontId="5" fillId="0" borderId="0" xfId="0" applyFont="1" applyAlignment="1">
      <alignment horizontal="left" vertical="center" wrapText="1"/>
    </xf>
    <xf numFmtId="178" fontId="0" fillId="3" borderId="0" xfId="47" applyNumberFormat="1" applyFill="1"/>
    <xf numFmtId="3" fontId="0" fillId="3" borderId="0" xfId="0" applyNumberFormat="1" applyFill="1"/>
    <xf numFmtId="176" fontId="0" fillId="3" borderId="0" xfId="0" applyNumberFormat="1" applyFill="1"/>
    <xf numFmtId="0" fontId="4" fillId="3" borderId="0" xfId="0" applyFont="1" applyFill="1" applyAlignment="1">
      <alignment horizontal="justify"/>
    </xf>
    <xf numFmtId="0" fontId="4" fillId="3" borderId="0" xfId="0" applyFont="1" applyFill="1" applyAlignment="1"/>
    <xf numFmtId="0" fontId="3" fillId="0" borderId="0" xfId="0" applyFont="1" applyAlignment="1">
      <alignment vertical="center"/>
    </xf>
    <xf numFmtId="0" fontId="0" fillId="3" borderId="0" xfId="0" applyFill="1"/>
    <xf numFmtId="10" fontId="0" fillId="3" borderId="0" xfId="47" applyNumberFormat="1" applyFill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ABD050"/>
      <color rgb="00ABEDD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de-DE"/>
              <a:t>Comparison</a:t>
            </a:r>
            <a:endParaRPr lang="de-DE"/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Comparison!$A$3</c:f>
              <c:strCache>
                <c:ptCount val="1"/>
                <c:pt idx="0">
                  <c:v>birth rate</c:v>
                </c:pt>
              </c:strCache>
            </c:strRef>
          </c:tx>
          <c:spPr>
            <a:solidFill>
              <a:srgbClr val="00B050"/>
            </a:solidFill>
            <a:ln w="25400">
              <a:noFill/>
            </a:ln>
          </c:spPr>
          <c:invertIfNegative val="0"/>
          <c:dLbls>
            <c:delete val="1"/>
          </c:dLbls>
          <c:cat>
            <c:multiLvlStrRef>
              <c:f>(Comparison!$B$1:$B$2,Comparison!$D$1:$D$2,Comparison!$F$1:$F$2,Comparison!$H$1:$H$2)</c:f>
              <c:multiLvlStrCache>
                <c:ptCount val="4"/>
                <c:lvl>
                  <c:pt idx="0">
                    <c:v>percentage (%)</c:v>
                  </c:pt>
                  <c:pt idx="1" c:formatCode="0.00%">
                    <c:v>percentage (%)</c:v>
                  </c:pt>
                  <c:pt idx="2">
                    <c:v>percentage (%)</c:v>
                  </c:pt>
                  <c:pt idx="3">
                    <c:v>percentage (%)</c:v>
                  </c:pt>
                </c:lvl>
                <c:lvl>
                  <c:pt idx="0">
                    <c:v>CH 2023</c:v>
                  </c:pt>
                  <c:pt idx="1">
                    <c:v>Senegal 2023</c:v>
                  </c:pt>
                  <c:pt idx="2">
                    <c:v>Nigeria 2023</c:v>
                  </c:pt>
                  <c:pt idx="3">
                    <c:v>California 2023</c:v>
                  </c:pt>
                </c:lvl>
              </c:multiLvlStrCache>
            </c:multiLvlStrRef>
          </c:cat>
          <c:val>
            <c:numRef>
              <c:f>(Comparison!$B$3,Comparison!$D$3,Comparison!$F$3,Comparison!$H$3)</c:f>
              <c:numCache>
                <c:formatCode>0.00</c:formatCode>
                <c:ptCount val="4"/>
                <c:pt idx="0">
                  <c:v>0.00900350615143203</c:v>
                </c:pt>
                <c:pt idx="1">
                  <c:v>0.0102255761464083</c:v>
                </c:pt>
                <c:pt idx="2">
                  <c:v>0.0329555078702668</c:v>
                </c:pt>
                <c:pt idx="3">
                  <c:v>0.0309776096603233</c:v>
                </c:pt>
              </c:numCache>
            </c:numRef>
          </c:val>
        </c:ser>
        <c:ser>
          <c:idx val="2"/>
          <c:order val="1"/>
          <c:tx>
            <c:strRef>
              <c:f>Comparison!$A$4</c:f>
              <c:strCache>
                <c:ptCount val="1"/>
                <c:pt idx="0">
                  <c:v>death rate</c:v>
                </c:pt>
              </c:strCache>
            </c:strRef>
          </c:tx>
          <c:spPr>
            <a:solidFill>
              <a:srgbClr val="000000"/>
            </a:solidFill>
            <a:ln w="25400">
              <a:noFill/>
            </a:ln>
          </c:spPr>
          <c:invertIfNegative val="0"/>
          <c:dLbls>
            <c:delete val="1"/>
          </c:dLbls>
          <c:cat>
            <c:multiLvlStrRef>
              <c:f>(Comparison!$B$1:$B$2,Comparison!$D$1:$D$2,Comparison!$F$1:$F$2,Comparison!$H$1:$H$2)</c:f>
              <c:multiLvlStrCache>
                <c:ptCount val="4"/>
                <c:lvl>
                  <c:pt idx="0">
                    <c:v>percentage (%)</c:v>
                  </c:pt>
                  <c:pt idx="1" c:formatCode="0.00%">
                    <c:v>percentage (%)</c:v>
                  </c:pt>
                  <c:pt idx="2">
                    <c:v>percentage (%)</c:v>
                  </c:pt>
                  <c:pt idx="3">
                    <c:v>percentage (%)</c:v>
                  </c:pt>
                </c:lvl>
                <c:lvl>
                  <c:pt idx="0">
                    <c:v>CH 2023</c:v>
                  </c:pt>
                  <c:pt idx="1">
                    <c:v>Senegal 2023</c:v>
                  </c:pt>
                  <c:pt idx="2">
                    <c:v>Nigeria 2023</c:v>
                  </c:pt>
                  <c:pt idx="3">
                    <c:v>California 2023</c:v>
                  </c:pt>
                </c:lvl>
              </c:multiLvlStrCache>
            </c:multiLvlStrRef>
          </c:cat>
          <c:val>
            <c:numRef>
              <c:f>(Comparison!$B$4,Comparison!$D$4,Comparison!$F$4,Comparison!$H$4)</c:f>
              <c:numCache>
                <c:formatCode>0.00</c:formatCode>
                <c:ptCount val="4"/>
                <c:pt idx="0">
                  <c:v>0.00808069852554423</c:v>
                </c:pt>
                <c:pt idx="1">
                  <c:v>0.00870283659119996</c:v>
                </c:pt>
                <c:pt idx="2">
                  <c:v>0.0117384798339499</c:v>
                </c:pt>
                <c:pt idx="3">
                  <c:v>0.00503386156980254</c:v>
                </c:pt>
              </c:numCache>
            </c:numRef>
          </c:val>
        </c:ser>
        <c:ser>
          <c:idx val="4"/>
          <c:order val="2"/>
          <c:tx>
            <c:strRef>
              <c:f>Comparison!$A$5</c:f>
              <c:strCache>
                <c:ptCount val="1"/>
                <c:pt idx="0">
                  <c:v>natural increase</c:v>
                </c:pt>
              </c:strCache>
            </c:strRef>
          </c:tx>
          <c:spPr>
            <a:solidFill>
              <a:srgbClr val="D7E4BD"/>
            </a:solidFill>
            <a:ln w="25400">
              <a:noFill/>
            </a:ln>
          </c:spPr>
          <c:invertIfNegative val="0"/>
          <c:dLbls>
            <c:delete val="1"/>
          </c:dLbls>
          <c:cat>
            <c:multiLvlStrRef>
              <c:f>(Comparison!$B$1:$B$2,Comparison!$D$1:$D$2,Comparison!$F$1:$F$2,Comparison!$H$1:$H$2)</c:f>
              <c:multiLvlStrCache>
                <c:ptCount val="4"/>
                <c:lvl>
                  <c:pt idx="0">
                    <c:v>percentage (%)</c:v>
                  </c:pt>
                  <c:pt idx="1" c:formatCode="0.00%">
                    <c:v>percentage (%)</c:v>
                  </c:pt>
                  <c:pt idx="2">
                    <c:v>percentage (%)</c:v>
                  </c:pt>
                  <c:pt idx="3">
                    <c:v>percentage (%)</c:v>
                  </c:pt>
                </c:lvl>
                <c:lvl>
                  <c:pt idx="0">
                    <c:v>CH 2023</c:v>
                  </c:pt>
                  <c:pt idx="1">
                    <c:v>Senegal 2023</c:v>
                  </c:pt>
                  <c:pt idx="2">
                    <c:v>Nigeria 2023</c:v>
                  </c:pt>
                  <c:pt idx="3">
                    <c:v>California 2023</c:v>
                  </c:pt>
                </c:lvl>
              </c:multiLvlStrCache>
            </c:multiLvlStrRef>
          </c:cat>
          <c:val>
            <c:numRef>
              <c:f>(Comparison!$B$5,Comparison!$D$5,Comparison!$F$5,Comparison!$H$5)</c:f>
              <c:numCache>
                <c:formatCode>0.00</c:formatCode>
                <c:ptCount val="4"/>
                <c:pt idx="0">
                  <c:v>0.000922807625887803</c:v>
                </c:pt>
                <c:pt idx="1">
                  <c:v>0.00152273955520834</c:v>
                </c:pt>
                <c:pt idx="2">
                  <c:v>0.0212170280363169</c:v>
                </c:pt>
                <c:pt idx="3">
                  <c:v>0.0259437480905208</c:v>
                </c:pt>
              </c:numCache>
            </c:numRef>
          </c:val>
        </c:ser>
        <c:ser>
          <c:idx val="6"/>
          <c:order val="3"/>
          <c:tx>
            <c:strRef>
              <c:f>Comparison!$A$6</c:f>
              <c:strCache>
                <c:ptCount val="1"/>
                <c:pt idx="0">
                  <c:v>immigr. rate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dLbls>
            <c:delete val="1"/>
          </c:dLbls>
          <c:cat>
            <c:multiLvlStrRef>
              <c:f>(Comparison!$B$1:$B$2,Comparison!$D$1:$D$2,Comparison!$F$1:$F$2,Comparison!$H$1:$H$2)</c:f>
              <c:multiLvlStrCache>
                <c:ptCount val="4"/>
                <c:lvl>
                  <c:pt idx="0">
                    <c:v>percentage (%)</c:v>
                  </c:pt>
                  <c:pt idx="1" c:formatCode="0.00%">
                    <c:v>percentage (%)</c:v>
                  </c:pt>
                  <c:pt idx="2">
                    <c:v>percentage (%)</c:v>
                  </c:pt>
                  <c:pt idx="3">
                    <c:v>percentage (%)</c:v>
                  </c:pt>
                </c:lvl>
                <c:lvl>
                  <c:pt idx="0">
                    <c:v>CH 2023</c:v>
                  </c:pt>
                  <c:pt idx="1">
                    <c:v>Senegal 2023</c:v>
                  </c:pt>
                  <c:pt idx="2">
                    <c:v>Nigeria 2023</c:v>
                  </c:pt>
                  <c:pt idx="3">
                    <c:v>California 2023</c:v>
                  </c:pt>
                </c:lvl>
              </c:multiLvlStrCache>
            </c:multiLvlStrRef>
          </c:cat>
          <c:val>
            <c:numRef>
              <c:f>(Comparison!$B$6,Comparison!$D$6,Comparison!$F$6,Comparison!$H$6)</c:f>
              <c:numCache>
                <c:formatCode>0.00</c:formatCode>
                <c:ptCount val="4"/>
                <c:pt idx="0">
                  <c:v>0.0296014004353915</c:v>
                </c:pt>
                <c:pt idx="1">
                  <c:v>0.00343409946012798</c:v>
                </c:pt>
                <c:pt idx="2">
                  <c:v>0.00574228002966435</c:v>
                </c:pt>
                <c:pt idx="3">
                  <c:v>0.0149356332290845</c:v>
                </c:pt>
              </c:numCache>
            </c:numRef>
          </c:val>
        </c:ser>
        <c:ser>
          <c:idx val="1"/>
          <c:order val="4"/>
          <c:tx>
            <c:strRef>
              <c:f>Comparison!$A$7</c:f>
              <c:strCache>
                <c:ptCount val="1"/>
                <c:pt idx="0">
                  <c:v>emigr. rate</c:v>
                </c:pt>
              </c:strCache>
            </c:strRef>
          </c:tx>
          <c:spPr>
            <a:solidFill>
              <a:srgbClr val="E6B9B8"/>
            </a:solidFill>
            <a:ln w="25400">
              <a:noFill/>
            </a:ln>
          </c:spPr>
          <c:invertIfNegative val="0"/>
          <c:dLbls>
            <c:delete val="1"/>
          </c:dLbls>
          <c:cat>
            <c:multiLvlStrRef>
              <c:f>(Comparison!$B$1:$B$2,Comparison!$D$1:$D$2,Comparison!$F$1:$F$2,Comparison!$H$1:$H$2)</c:f>
              <c:multiLvlStrCache>
                <c:ptCount val="4"/>
                <c:lvl>
                  <c:pt idx="0">
                    <c:v>percentage (%)</c:v>
                  </c:pt>
                  <c:pt idx="1" c:formatCode="0.00%">
                    <c:v>percentage (%)</c:v>
                  </c:pt>
                  <c:pt idx="2">
                    <c:v>percentage (%)</c:v>
                  </c:pt>
                  <c:pt idx="3">
                    <c:v>percentage (%)</c:v>
                  </c:pt>
                </c:lvl>
                <c:lvl>
                  <c:pt idx="0">
                    <c:v>CH 2023</c:v>
                  </c:pt>
                  <c:pt idx="1">
                    <c:v>Senegal 2023</c:v>
                  </c:pt>
                  <c:pt idx="2">
                    <c:v>Nigeria 2023</c:v>
                  </c:pt>
                  <c:pt idx="3">
                    <c:v>California 2023</c:v>
                  </c:pt>
                </c:lvl>
              </c:multiLvlStrCache>
            </c:multiLvlStrRef>
          </c:cat>
          <c:val>
            <c:numRef>
              <c:f>(Comparison!$B$7,Comparison!$D$7,Comparison!$F$7,Comparison!$H$7)</c:f>
              <c:numCache>
                <c:formatCode>0.00</c:formatCode>
                <c:ptCount val="4"/>
                <c:pt idx="0">
                  <c:v>0.0139470862872384</c:v>
                </c:pt>
                <c:pt idx="1">
                  <c:v>0.00369227667785673</c:v>
                </c:pt>
                <c:pt idx="2">
                  <c:v>0.00599651575589228</c:v>
                </c:pt>
                <c:pt idx="3">
                  <c:v>0.0383771095821325</c:v>
                </c:pt>
              </c:numCache>
            </c:numRef>
          </c:val>
        </c:ser>
        <c:ser>
          <c:idx val="3"/>
          <c:order val="5"/>
          <c:tx>
            <c:strRef>
              <c:f>Comparison!$A$8</c:f>
              <c:strCache>
                <c:ptCount val="1"/>
                <c:pt idx="0">
                  <c:v>net migration rate</c:v>
                </c:pt>
              </c:strCache>
            </c:strRef>
          </c:tx>
          <c:spPr>
            <a:solidFill>
              <a:srgbClr val="F2DCDB"/>
            </a:solidFill>
            <a:ln w="25400">
              <a:noFill/>
            </a:ln>
          </c:spPr>
          <c:invertIfNegative val="0"/>
          <c:dLbls>
            <c:delete val="1"/>
          </c:dLbls>
          <c:cat>
            <c:multiLvlStrRef>
              <c:f>(Comparison!$B$1:$B$2,Comparison!$D$1:$D$2,Comparison!$F$1:$F$2,Comparison!$H$1:$H$2)</c:f>
              <c:multiLvlStrCache>
                <c:ptCount val="4"/>
                <c:lvl>
                  <c:pt idx="0">
                    <c:v>percentage (%)</c:v>
                  </c:pt>
                  <c:pt idx="1" c:formatCode="0.00%">
                    <c:v>percentage (%)</c:v>
                  </c:pt>
                  <c:pt idx="2">
                    <c:v>percentage (%)</c:v>
                  </c:pt>
                  <c:pt idx="3">
                    <c:v>percentage (%)</c:v>
                  </c:pt>
                </c:lvl>
                <c:lvl>
                  <c:pt idx="0">
                    <c:v>CH 2023</c:v>
                  </c:pt>
                  <c:pt idx="1">
                    <c:v>Senegal 2023</c:v>
                  </c:pt>
                  <c:pt idx="2">
                    <c:v>Nigeria 2023</c:v>
                  </c:pt>
                  <c:pt idx="3">
                    <c:v>California 2023</c:v>
                  </c:pt>
                </c:lvl>
              </c:multiLvlStrCache>
            </c:multiLvlStrRef>
          </c:cat>
          <c:val>
            <c:numRef>
              <c:f>(Comparison!$B$8,Comparison!$D$8,Comparison!$F$8,Comparison!$H$8)</c:f>
              <c:numCache>
                <c:formatCode>0.00</c:formatCode>
                <c:ptCount val="4"/>
                <c:pt idx="0">
                  <c:v>0.015654314148153</c:v>
                </c:pt>
                <c:pt idx="1">
                  <c:v>-0.000258177217728755</c:v>
                </c:pt>
                <c:pt idx="2">
                  <c:v>-0.000254235726227933</c:v>
                </c:pt>
                <c:pt idx="3">
                  <c:v>-0.0234414763530481</c:v>
                </c:pt>
              </c:numCache>
            </c:numRef>
          </c:val>
        </c:ser>
        <c:ser>
          <c:idx val="5"/>
          <c:order val="6"/>
          <c:tx>
            <c:strRef>
              <c:f>Comparison!$A$9</c:f>
              <c:strCache>
                <c:ptCount val="1"/>
                <c:pt idx="0">
                  <c:v>growth rate</c:v>
                </c:pt>
              </c:strCache>
            </c:strRef>
          </c:tx>
          <c:spPr>
            <a:solidFill>
              <a:srgbClr val="F2DCDB"/>
            </a:solidFill>
            <a:ln w="12700">
              <a:solidFill>
                <a:srgbClr val="666699"/>
              </a:solidFill>
              <a:prstDash val="solid"/>
            </a:ln>
          </c:spPr>
          <c:invertIfNegative val="0"/>
          <c:dLbls>
            <c:delete val="1"/>
          </c:dLbls>
          <c:cat>
            <c:multiLvlStrRef>
              <c:f>(Comparison!$B$1:$B$2,Comparison!$D$1:$D$2,Comparison!$F$1:$F$2,Comparison!$H$1:$H$2)</c:f>
              <c:multiLvlStrCache>
                <c:ptCount val="4"/>
                <c:lvl>
                  <c:pt idx="0">
                    <c:v>percentage (%)</c:v>
                  </c:pt>
                  <c:pt idx="1" c:formatCode="0.00%">
                    <c:v>percentage (%)</c:v>
                  </c:pt>
                  <c:pt idx="2">
                    <c:v>percentage (%)</c:v>
                  </c:pt>
                  <c:pt idx="3">
                    <c:v>percentage (%)</c:v>
                  </c:pt>
                </c:lvl>
                <c:lvl>
                  <c:pt idx="0">
                    <c:v>CH 2023</c:v>
                  </c:pt>
                  <c:pt idx="1">
                    <c:v>Senegal 2023</c:v>
                  </c:pt>
                  <c:pt idx="2">
                    <c:v>Nigeria 2023</c:v>
                  </c:pt>
                  <c:pt idx="3">
                    <c:v>California 2023</c:v>
                  </c:pt>
                </c:lvl>
              </c:multiLvlStrCache>
            </c:multiLvlStrRef>
          </c:cat>
          <c:val>
            <c:numRef>
              <c:f>(Comparison!$B$9,Comparison!$D$9,Comparison!$F$9,Comparison!$H$9)</c:f>
              <c:numCache>
                <c:formatCode>0.00</c:formatCode>
                <c:ptCount val="4"/>
                <c:pt idx="0">
                  <c:v>0.0165771217740408</c:v>
                </c:pt>
                <c:pt idx="1">
                  <c:v>0.00126456233747959</c:v>
                </c:pt>
                <c:pt idx="2">
                  <c:v>0.0209627923100889</c:v>
                </c:pt>
                <c:pt idx="3">
                  <c:v>0.00250227173747272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5012640"/>
        <c:axId val="1"/>
      </c:barChart>
      <c:catAx>
        <c:axId val="875012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 cap="flat" cmpd="sng" algn="ctr">
            <a:solidFill>
              <a:srgbClr val="C0C0C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rgbClr val="C0C0C0"/>
              </a:solidFill>
              <a:prstDash val="solid"/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</a:p>
        </c:txPr>
        <c:crossAx val="875012640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layout/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825" b="0" i="0" u="none" strike="noStrike" kern="1200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</a:p>
      </c:txPr>
    </c:legend>
    <c:plotVisOnly val="1"/>
    <c:dispBlanksAs val="gap"/>
    <c:showDLblsOverMax val="0"/>
  </c:chart>
  <c:spPr>
    <a:solidFill>
      <a:srgbClr val="FFFFFF"/>
    </a:solidFill>
    <a:ln w="3175" cap="flat" cmpd="sng" algn="ctr">
      <a:solidFill>
        <a:srgbClr val="C0C0C0"/>
      </a:solidFill>
      <a:prstDash val="solid"/>
      <a:round/>
    </a:ln>
  </c:spPr>
  <c:txPr>
    <a:bodyPr/>
    <a:lstStyle/>
    <a:p>
      <a:pPr>
        <a:defRPr lang="en-US"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1029469</xdr:colOff>
      <xdr:row>12</xdr:row>
      <xdr:rowOff>15779</xdr:rowOff>
    </xdr:from>
    <xdr:to>
      <xdr:col>9</xdr:col>
      <xdr:colOff>76969</xdr:colOff>
      <xdr:row>25</xdr:row>
      <xdr:rowOff>117379</xdr:rowOff>
    </xdr:to>
    <xdr:graphicFrame>
      <xdr:nvGraphicFramePr>
        <xdr:cNvPr id="1035" name="Diagramm 3"/>
        <xdr:cNvGraphicFramePr/>
      </xdr:nvGraphicFramePr>
      <xdr:xfrm>
        <a:off x="1029335" y="2571115"/>
        <a:ext cx="8476615" cy="25781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zoomScale="150" zoomScaleNormal="150" topLeftCell="A2" workbookViewId="0">
      <selection activeCell="C16" sqref="C16"/>
    </sheetView>
  </sheetViews>
  <sheetFormatPr defaultColWidth="11" defaultRowHeight="15" outlineLevelCol="5"/>
  <cols>
    <col min="1" max="1" width="17.5703703703704" customWidth="1"/>
    <col min="2" max="2" width="20.2814814814815" customWidth="1"/>
    <col min="3" max="3" width="11.2592592592593" customWidth="1"/>
    <col min="4" max="4" width="9.18518518518519" customWidth="1"/>
    <col min="5" max="5" width="12.1481481481481" customWidth="1"/>
    <col min="6" max="6" width="13.037037037037" customWidth="1"/>
  </cols>
  <sheetData>
    <row r="1" s="21" customFormat="1" ht="30" spans="1:6">
      <c r="A1" s="34" t="s">
        <v>0</v>
      </c>
      <c r="B1" s="23" t="s">
        <v>1</v>
      </c>
      <c r="C1" s="24" t="s">
        <v>2</v>
      </c>
      <c r="D1" s="24" t="s">
        <v>3</v>
      </c>
      <c r="E1" s="24" t="s">
        <v>4</v>
      </c>
      <c r="F1" s="24" t="s">
        <v>5</v>
      </c>
    </row>
    <row r="2" spans="2:6">
      <c r="B2" s="35">
        <v>8888093</v>
      </c>
      <c r="C2" s="30">
        <v>80024</v>
      </c>
      <c r="D2" s="30">
        <v>71822</v>
      </c>
      <c r="E2" s="30">
        <v>263100</v>
      </c>
      <c r="F2" s="30">
        <v>123963</v>
      </c>
    </row>
    <row r="4" s="21" customFormat="1" ht="18" spans="1:1">
      <c r="A4" s="27"/>
    </row>
    <row r="6" spans="1:1">
      <c r="A6" t="s">
        <v>6</v>
      </c>
    </row>
    <row r="8" ht="30" spans="1:3">
      <c r="A8" s="34" t="s">
        <v>0</v>
      </c>
      <c r="B8" s="24" t="s">
        <v>7</v>
      </c>
      <c r="C8" s="28" t="s">
        <v>8</v>
      </c>
    </row>
    <row r="9" spans="1:3">
      <c r="A9" t="s">
        <v>9</v>
      </c>
      <c r="B9" s="36">
        <f>C9/B2</f>
        <v>0.00900350615143203</v>
      </c>
      <c r="C9" s="30">
        <v>80024</v>
      </c>
    </row>
    <row r="10" spans="1:3">
      <c r="A10" t="s">
        <v>10</v>
      </c>
      <c r="B10" s="36">
        <f>C10/B2</f>
        <v>0.00808069852554423</v>
      </c>
      <c r="C10" s="30">
        <v>71822</v>
      </c>
    </row>
    <row r="11" spans="1:3">
      <c r="A11" t="s">
        <v>11</v>
      </c>
      <c r="B11" s="36">
        <f>C11/B2</f>
        <v>0.000922807625887803</v>
      </c>
      <c r="C11" s="30">
        <f>C9-C10</f>
        <v>8202</v>
      </c>
    </row>
    <row r="12" spans="1:3">
      <c r="A12" t="s">
        <v>12</v>
      </c>
      <c r="B12" s="36">
        <f>C12/B2</f>
        <v>0.0296014004353915</v>
      </c>
      <c r="C12" s="30">
        <v>263100</v>
      </c>
    </row>
    <row r="13" spans="1:3">
      <c r="A13" t="s">
        <v>13</v>
      </c>
      <c r="B13" s="36">
        <f>C13/B2</f>
        <v>0.0139470862872384</v>
      </c>
      <c r="C13" s="30">
        <v>123963</v>
      </c>
    </row>
    <row r="14" spans="1:3">
      <c r="A14" t="s">
        <v>14</v>
      </c>
      <c r="B14" s="36">
        <f>C14/B2</f>
        <v>0.015654314148153</v>
      </c>
      <c r="C14" s="30">
        <f>C12-C13</f>
        <v>139137</v>
      </c>
    </row>
    <row r="15" spans="1:3">
      <c r="A15" t="s">
        <v>15</v>
      </c>
      <c r="B15" s="36">
        <f>C15/B2</f>
        <v>0.0165771217740408</v>
      </c>
      <c r="C15" s="30">
        <f>C11+C14</f>
        <v>147339</v>
      </c>
    </row>
    <row r="16" spans="1:3">
      <c r="A16" t="s">
        <v>16</v>
      </c>
      <c r="C16" s="31">
        <f>70/(B15*100)</f>
        <v>42.2268720433829</v>
      </c>
    </row>
  </sheetData>
  <sheetProtection selectLockedCells="1" selectUnlockedCells="1"/>
  <pageMargins left="0.747916666666667" right="0.747916666666667" top="0.984027777777778" bottom="0.984027777777778" header="0.511805555555556" footer="0.511805555555556"/>
  <pageSetup paperSize="9" firstPageNumber="0" orientation="portrait" useFirstPageNumber="1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zoomScale="150" zoomScaleNormal="150" workbookViewId="0">
      <selection activeCell="C16" sqref="C16"/>
    </sheetView>
  </sheetViews>
  <sheetFormatPr defaultColWidth="11" defaultRowHeight="15" outlineLevelCol="5"/>
  <cols>
    <col min="1" max="1" width="15.5703703703704" customWidth="1"/>
    <col min="2" max="2" width="23.7111111111111" customWidth="1"/>
    <col min="5" max="5" width="14.5703703703704" customWidth="1"/>
    <col min="6" max="6" width="15.2814814814815" customWidth="1"/>
  </cols>
  <sheetData>
    <row r="1" s="21" customFormat="1" ht="30" spans="1:6">
      <c r="A1" s="22" t="s">
        <v>17</v>
      </c>
      <c r="B1" s="23" t="s">
        <v>1</v>
      </c>
      <c r="C1" s="24" t="s">
        <v>2</v>
      </c>
      <c r="D1" s="24" t="s">
        <v>3</v>
      </c>
      <c r="E1" s="24" t="s">
        <v>4</v>
      </c>
      <c r="F1" s="24" t="s">
        <v>5</v>
      </c>
    </row>
    <row r="2" spans="2:6">
      <c r="B2" s="30">
        <v>39128162</v>
      </c>
      <c r="C2" s="33">
        <v>400108</v>
      </c>
      <c r="D2" s="30">
        <v>340526</v>
      </c>
      <c r="E2" s="33">
        <v>134370</v>
      </c>
      <c r="F2" s="33">
        <v>144472</v>
      </c>
    </row>
    <row r="4" s="21" customFormat="1" ht="18" spans="1:1">
      <c r="A4" s="27"/>
    </row>
    <row r="8" ht="30" spans="1:3">
      <c r="A8" s="22" t="s">
        <v>17</v>
      </c>
      <c r="B8" s="24" t="s">
        <v>7</v>
      </c>
      <c r="C8" s="28" t="s">
        <v>8</v>
      </c>
    </row>
    <row r="9" spans="1:3">
      <c r="A9" t="s">
        <v>9</v>
      </c>
      <c r="B9" s="29">
        <f>C9/B2</f>
        <v>0.0102255761464083</v>
      </c>
      <c r="C9" s="30">
        <f>C2</f>
        <v>400108</v>
      </c>
    </row>
    <row r="10" spans="1:3">
      <c r="A10" t="s">
        <v>10</v>
      </c>
      <c r="B10" s="29">
        <f>C10/B2</f>
        <v>0.00870283659119996</v>
      </c>
      <c r="C10" s="30">
        <f>D2</f>
        <v>340526</v>
      </c>
    </row>
    <row r="11" spans="1:3">
      <c r="A11" t="s">
        <v>11</v>
      </c>
      <c r="B11" s="29">
        <f>C11/B2</f>
        <v>0.00152273955520834</v>
      </c>
      <c r="C11" s="30">
        <f>C2-D2</f>
        <v>59582</v>
      </c>
    </row>
    <row r="12" spans="1:3">
      <c r="A12" t="s">
        <v>12</v>
      </c>
      <c r="B12" s="29">
        <f>C12/B2</f>
        <v>0.00343409946012798</v>
      </c>
      <c r="C12" s="30">
        <f>E2</f>
        <v>134370</v>
      </c>
    </row>
    <row r="13" spans="1:3">
      <c r="A13" t="s">
        <v>13</v>
      </c>
      <c r="B13" s="29">
        <f>C13/B2</f>
        <v>0.00369227667785673</v>
      </c>
      <c r="C13" s="30">
        <f>F2</f>
        <v>144472</v>
      </c>
    </row>
    <row r="14" spans="1:3">
      <c r="A14" t="s">
        <v>14</v>
      </c>
      <c r="B14" s="29">
        <f>C14/B2</f>
        <v>-0.000258177217728755</v>
      </c>
      <c r="C14" s="30">
        <f>E2-F2</f>
        <v>-10102</v>
      </c>
    </row>
    <row r="15" spans="1:3">
      <c r="A15" t="s">
        <v>15</v>
      </c>
      <c r="B15" s="29">
        <f>C15/B2</f>
        <v>0.00126456233747959</v>
      </c>
      <c r="C15" s="30">
        <f>C11+C14</f>
        <v>49480</v>
      </c>
    </row>
    <row r="16" spans="1:3">
      <c r="A16" t="s">
        <v>16</v>
      </c>
      <c r="C16" s="31">
        <f>70/(B15*100)</f>
        <v>553.551200485044</v>
      </c>
    </row>
  </sheetData>
  <sheetProtection selectLockedCells="1" selectUnlockedCells="1"/>
  <pageMargins left="0.747916666666667" right="0.747916666666667" top="0.984027777777778" bottom="0.984027777777778" header="0.511805555555556" footer="0.511805555555556"/>
  <pageSetup paperSize="1" firstPageNumber="0" orientation="portrait" useFirstPageNumber="1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zoomScale="150" zoomScaleNormal="150" workbookViewId="0">
      <selection activeCell="C16" sqref="C16"/>
    </sheetView>
  </sheetViews>
  <sheetFormatPr defaultColWidth="11" defaultRowHeight="15" outlineLevelCol="5"/>
  <cols>
    <col min="1" max="1" width="13.2814814814815" customWidth="1"/>
    <col min="2" max="2" width="23" customWidth="1"/>
    <col min="6" max="6" width="15.2814814814815" customWidth="1"/>
  </cols>
  <sheetData>
    <row r="1" s="21" customFormat="1" ht="30" spans="1:6">
      <c r="A1" s="22" t="s">
        <v>18</v>
      </c>
      <c r="B1" s="23" t="s">
        <v>1</v>
      </c>
      <c r="C1" s="24" t="s">
        <v>2</v>
      </c>
      <c r="D1" s="24" t="s">
        <v>3</v>
      </c>
      <c r="E1" s="24" t="s">
        <v>4</v>
      </c>
      <c r="F1" s="24" t="s">
        <v>5</v>
      </c>
    </row>
    <row r="2" spans="2:6">
      <c r="B2" s="32">
        <v>227883000</v>
      </c>
      <c r="C2" s="32">
        <v>7510000</v>
      </c>
      <c r="D2" s="32">
        <v>2675000</v>
      </c>
      <c r="E2" s="32">
        <v>1308568</v>
      </c>
      <c r="F2" s="32">
        <v>1366504</v>
      </c>
    </row>
    <row r="4" s="21" customFormat="1" ht="18" spans="1:1">
      <c r="A4" s="27"/>
    </row>
    <row r="8" ht="30" spans="1:3">
      <c r="A8" s="22" t="s">
        <v>18</v>
      </c>
      <c r="B8" s="24" t="s">
        <v>7</v>
      </c>
      <c r="C8" s="28" t="s">
        <v>8</v>
      </c>
    </row>
    <row r="9" spans="1:3">
      <c r="A9" t="s">
        <v>9</v>
      </c>
      <c r="B9" s="29">
        <f>C9/B2</f>
        <v>0.0329555078702668</v>
      </c>
      <c r="C9" s="30">
        <f>C2</f>
        <v>7510000</v>
      </c>
    </row>
    <row r="10" spans="1:3">
      <c r="A10" t="s">
        <v>10</v>
      </c>
      <c r="B10" s="29">
        <f>C10/B2</f>
        <v>0.0117384798339499</v>
      </c>
      <c r="C10" s="30">
        <f>D2</f>
        <v>2675000</v>
      </c>
    </row>
    <row r="11" spans="1:3">
      <c r="A11" t="s">
        <v>11</v>
      </c>
      <c r="B11" s="29">
        <f>C11/B2</f>
        <v>0.0212170280363169</v>
      </c>
      <c r="C11" s="30">
        <f>C9-C10</f>
        <v>4835000</v>
      </c>
    </row>
    <row r="12" spans="1:3">
      <c r="A12" t="s">
        <v>12</v>
      </c>
      <c r="B12" s="29">
        <f>C12/B2</f>
        <v>0.00574228002966435</v>
      </c>
      <c r="C12" s="30">
        <f>E2</f>
        <v>1308568</v>
      </c>
    </row>
    <row r="13" spans="1:3">
      <c r="A13" t="s">
        <v>13</v>
      </c>
      <c r="B13" s="29">
        <f>C13/B2</f>
        <v>0.00599651575589228</v>
      </c>
      <c r="C13" s="30">
        <f>F2</f>
        <v>1366504</v>
      </c>
    </row>
    <row r="14" spans="1:3">
      <c r="A14" t="s">
        <v>14</v>
      </c>
      <c r="B14" s="29">
        <f>C14/B2</f>
        <v>-0.000254235726227933</v>
      </c>
      <c r="C14" s="30">
        <f>C12-C13</f>
        <v>-57936</v>
      </c>
    </row>
    <row r="15" spans="1:3">
      <c r="A15" t="s">
        <v>15</v>
      </c>
      <c r="B15" s="29">
        <f>C15/B2</f>
        <v>0.0209627923100889</v>
      </c>
      <c r="C15" s="30">
        <f>C11+C14</f>
        <v>4777064</v>
      </c>
    </row>
    <row r="16" spans="1:3">
      <c r="A16" t="s">
        <v>16</v>
      </c>
      <c r="C16" s="31">
        <f>70/(B15*100)</f>
        <v>33.3924979862108</v>
      </c>
    </row>
  </sheetData>
  <sheetProtection selectLockedCells="1" selectUnlockedCells="1"/>
  <pageMargins left="0.747916666666667" right="0.747916666666667" top="0.984027777777778" bottom="0.984027777777778" header="0.511805555555556" footer="0.511805555555556"/>
  <pageSetup paperSize="1" firstPageNumber="0" orientation="portrait" useFirstPageNumber="1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zoomScale="150" zoomScaleNormal="150" workbookViewId="0">
      <selection activeCell="C16" sqref="C16"/>
    </sheetView>
  </sheetViews>
  <sheetFormatPr defaultColWidth="11" defaultRowHeight="15" outlineLevelCol="5"/>
  <cols>
    <col min="1" max="1" width="14.5703703703704" customWidth="1"/>
    <col min="2" max="2" width="23.7111111111111" customWidth="1"/>
    <col min="6" max="6" width="15.2814814814815" customWidth="1"/>
  </cols>
  <sheetData>
    <row r="1" s="21" customFormat="1" ht="30" spans="1:6">
      <c r="A1" s="22" t="s">
        <v>19</v>
      </c>
      <c r="B1" s="23" t="s">
        <v>1</v>
      </c>
      <c r="C1" s="24" t="s">
        <v>2</v>
      </c>
      <c r="D1" s="24" t="s">
        <v>3</v>
      </c>
      <c r="E1" s="24" t="s">
        <v>4</v>
      </c>
      <c r="F1" s="24" t="s">
        <v>5</v>
      </c>
    </row>
    <row r="2" spans="2:6">
      <c r="B2" s="25">
        <v>18077573</v>
      </c>
      <c r="C2" s="26">
        <v>560000</v>
      </c>
      <c r="D2" s="26">
        <v>91000</v>
      </c>
      <c r="E2" s="26">
        <v>270000</v>
      </c>
      <c r="F2" s="26">
        <v>693765</v>
      </c>
    </row>
    <row r="4" s="21" customFormat="1" ht="18" spans="1:1">
      <c r="A4" s="27"/>
    </row>
    <row r="8" ht="30" spans="1:3">
      <c r="A8" s="22" t="s">
        <v>19</v>
      </c>
      <c r="B8" s="24" t="s">
        <v>7</v>
      </c>
      <c r="C8" s="28" t="s">
        <v>8</v>
      </c>
    </row>
    <row r="9" spans="1:3">
      <c r="A9" t="s">
        <v>9</v>
      </c>
      <c r="B9" s="29">
        <f>C9/B2</f>
        <v>0.0309776096603233</v>
      </c>
      <c r="C9" s="30">
        <f>C2</f>
        <v>560000</v>
      </c>
    </row>
    <row r="10" spans="1:3">
      <c r="A10" t="s">
        <v>10</v>
      </c>
      <c r="B10" s="29">
        <f>C10/B2</f>
        <v>0.00503386156980254</v>
      </c>
      <c r="C10" s="30">
        <f>D2</f>
        <v>91000</v>
      </c>
    </row>
    <row r="11" spans="1:3">
      <c r="A11" t="s">
        <v>11</v>
      </c>
      <c r="B11" s="29">
        <f>C11/B2</f>
        <v>0.0259437480905208</v>
      </c>
      <c r="C11" s="30">
        <f>C9-C10</f>
        <v>469000</v>
      </c>
    </row>
    <row r="12" spans="1:3">
      <c r="A12" t="s">
        <v>12</v>
      </c>
      <c r="B12" s="29">
        <f>C12/B2</f>
        <v>0.0149356332290845</v>
      </c>
      <c r="C12" s="30">
        <f>E2</f>
        <v>270000</v>
      </c>
    </row>
    <row r="13" spans="1:3">
      <c r="A13" t="s">
        <v>13</v>
      </c>
      <c r="B13" s="29">
        <f>C13/B2</f>
        <v>0.0383771095821325</v>
      </c>
      <c r="C13" s="30">
        <f>F2</f>
        <v>693765</v>
      </c>
    </row>
    <row r="14" spans="1:3">
      <c r="A14" t="s">
        <v>14</v>
      </c>
      <c r="B14" s="29">
        <f>C14/B2</f>
        <v>-0.0234414763530481</v>
      </c>
      <c r="C14" s="30">
        <f>C12-C13</f>
        <v>-423765</v>
      </c>
    </row>
    <row r="15" spans="1:3">
      <c r="A15" t="s">
        <v>15</v>
      </c>
      <c r="B15" s="29">
        <f>C15/B2</f>
        <v>0.00250227173747272</v>
      </c>
      <c r="C15" s="30">
        <f>C11+C14</f>
        <v>45235</v>
      </c>
    </row>
    <row r="16" spans="1:3">
      <c r="A16" t="s">
        <v>16</v>
      </c>
      <c r="C16" s="31">
        <f>70/(B15*100)</f>
        <v>279.745796396596</v>
      </c>
    </row>
    <row r="19" spans="6:6">
      <c r="F19">
        <v>85</v>
      </c>
    </row>
  </sheetData>
  <sheetProtection selectLockedCells="1" selectUnlockedCells="1"/>
  <pageMargins left="0.747916666666667" right="0.747916666666667" top="0.984027777777778" bottom="0.984027777777778" header="0.511805555555556" footer="0.511805555555556"/>
  <pageSetup paperSize="1" firstPageNumber="0" orientation="portrait" useFirstPageNumber="1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tabSelected="1" zoomScale="160" zoomScaleNormal="160" workbookViewId="0">
      <selection activeCell="E30" sqref="E30"/>
    </sheetView>
  </sheetViews>
  <sheetFormatPr defaultColWidth="11" defaultRowHeight="15"/>
  <cols>
    <col min="1" max="1" width="15.5703703703704" customWidth="1"/>
    <col min="4" max="4" width="13.7111111111111" customWidth="1"/>
    <col min="7" max="7" width="11.7111111111111" customWidth="1"/>
    <col min="8" max="8" width="14" customWidth="1"/>
  </cols>
  <sheetData>
    <row r="1" s="1" customFormat="1" ht="19" customHeight="1" spans="1:9">
      <c r="A1" s="3"/>
      <c r="B1" s="4" t="str">
        <f>Switzerland!A8</f>
        <v>CH 2023</v>
      </c>
      <c r="C1" s="4"/>
      <c r="D1" s="5" t="str">
        <f>Senegal!A8</f>
        <v>Senegal 2023</v>
      </c>
      <c r="E1" s="5"/>
      <c r="F1" s="5" t="str">
        <f>Nigeria!A8</f>
        <v>Nigeria 2023</v>
      </c>
      <c r="G1" s="5"/>
      <c r="H1" s="5" t="str">
        <f>California!A8</f>
        <v>California 2023</v>
      </c>
      <c r="I1" s="5"/>
    </row>
    <row r="2" s="2" customFormat="1" ht="30.75" spans="1:9">
      <c r="A2" s="6"/>
      <c r="B2" s="7" t="str">
        <f>Switzerland!B8</f>
        <v>percentage (%)</v>
      </c>
      <c r="C2" s="8" t="str">
        <f>Switzerland!C8</f>
        <v>absolute numbers</v>
      </c>
      <c r="D2" s="9" t="str">
        <f>Senegal!B8</f>
        <v>percentage (%)</v>
      </c>
      <c r="E2" s="17" t="str">
        <f>Senegal!C8</f>
        <v>absolute numbers</v>
      </c>
      <c r="F2" s="18" t="str">
        <f>Nigeria!B8</f>
        <v>percentage (%)</v>
      </c>
      <c r="G2" s="7" t="str">
        <f>Nigeria!C8</f>
        <v>absolute numbers</v>
      </c>
      <c r="H2" s="18" t="str">
        <f>California!B8</f>
        <v>percentage (%)</v>
      </c>
      <c r="I2" s="8" t="str">
        <f>California!C8</f>
        <v>absolute numbers</v>
      </c>
    </row>
    <row r="3" spans="1:9">
      <c r="A3" s="6" t="str">
        <f>Switzerland!A9</f>
        <v>birth rate</v>
      </c>
      <c r="B3" s="10">
        <f>Switzerland!B9</f>
        <v>0.00900350615143203</v>
      </c>
      <c r="C3" s="11">
        <f>Switzerland!C9</f>
        <v>80024</v>
      </c>
      <c r="D3" s="12">
        <f>California!B9</f>
        <v>0.0102255761464083</v>
      </c>
      <c r="E3" s="11">
        <f>California!C9</f>
        <v>400108</v>
      </c>
      <c r="F3" s="12">
        <f>Nigeria!B9</f>
        <v>0.0329555078702668</v>
      </c>
      <c r="G3" s="11">
        <f>Nigeria!C9</f>
        <v>7510000</v>
      </c>
      <c r="H3" s="12">
        <f>Senegal!B9</f>
        <v>0.0309776096603233</v>
      </c>
      <c r="I3" s="19">
        <f>Senegal!C9</f>
        <v>560000</v>
      </c>
    </row>
    <row r="4" spans="1:9">
      <c r="A4" s="13" t="str">
        <f>Switzerland!A10</f>
        <v>death rate</v>
      </c>
      <c r="B4" s="10">
        <f>Switzerland!B10</f>
        <v>0.00808069852554423</v>
      </c>
      <c r="C4" s="11">
        <f>Switzerland!C10</f>
        <v>71822</v>
      </c>
      <c r="D4" s="12">
        <f>California!B10</f>
        <v>0.00870283659119996</v>
      </c>
      <c r="E4" s="11">
        <f>California!C10</f>
        <v>340526</v>
      </c>
      <c r="F4" s="12">
        <f>Nigeria!B10</f>
        <v>0.0117384798339499</v>
      </c>
      <c r="G4" s="11">
        <f>Nigeria!C10</f>
        <v>2675000</v>
      </c>
      <c r="H4" s="12">
        <f>Senegal!B10</f>
        <v>0.00503386156980254</v>
      </c>
      <c r="I4" s="19">
        <f>Senegal!C10</f>
        <v>91000</v>
      </c>
    </row>
    <row r="5" spans="1:9">
      <c r="A5" s="13" t="str">
        <f>Switzerland!A11</f>
        <v>natural increase</v>
      </c>
      <c r="B5" s="10">
        <f>Switzerland!B11</f>
        <v>0.000922807625887803</v>
      </c>
      <c r="C5" s="11">
        <f>Switzerland!C11</f>
        <v>8202</v>
      </c>
      <c r="D5" s="12">
        <f>California!B11</f>
        <v>0.00152273955520834</v>
      </c>
      <c r="E5" s="11">
        <f>California!C11</f>
        <v>59582</v>
      </c>
      <c r="F5" s="12">
        <f>Nigeria!B11</f>
        <v>0.0212170280363169</v>
      </c>
      <c r="G5" s="11">
        <f>Nigeria!C11</f>
        <v>4835000</v>
      </c>
      <c r="H5" s="12">
        <f>Senegal!B11</f>
        <v>0.0259437480905208</v>
      </c>
      <c r="I5" s="19">
        <f>Senegal!C11</f>
        <v>469000</v>
      </c>
    </row>
    <row r="6" spans="1:9">
      <c r="A6" s="13" t="str">
        <f>Switzerland!A12</f>
        <v>immigr. rate</v>
      </c>
      <c r="B6" s="10">
        <f>Switzerland!B12</f>
        <v>0.0296014004353915</v>
      </c>
      <c r="C6" s="11">
        <f>Switzerland!C12</f>
        <v>263100</v>
      </c>
      <c r="D6" s="12">
        <f>California!B12</f>
        <v>0.00343409946012798</v>
      </c>
      <c r="E6" s="11">
        <f>California!C12</f>
        <v>134370</v>
      </c>
      <c r="F6" s="12">
        <f>Nigeria!B12</f>
        <v>0.00574228002966435</v>
      </c>
      <c r="G6" s="11">
        <f>Nigeria!C12</f>
        <v>1308568</v>
      </c>
      <c r="H6" s="12">
        <f>Senegal!B12</f>
        <v>0.0149356332290845</v>
      </c>
      <c r="I6" s="19">
        <f>Senegal!C12</f>
        <v>270000</v>
      </c>
    </row>
    <row r="7" spans="1:9">
      <c r="A7" s="13" t="str">
        <f>Switzerland!A13</f>
        <v>emigr. rate</v>
      </c>
      <c r="B7" s="10">
        <f>Switzerland!B13</f>
        <v>0.0139470862872384</v>
      </c>
      <c r="C7" s="11">
        <f>Switzerland!C13</f>
        <v>123963</v>
      </c>
      <c r="D7" s="12">
        <f>California!B13</f>
        <v>0.00369227667785673</v>
      </c>
      <c r="E7" s="11">
        <f>California!C13</f>
        <v>144472</v>
      </c>
      <c r="F7" s="12">
        <f>Nigeria!B13</f>
        <v>0.00599651575589228</v>
      </c>
      <c r="G7" s="11">
        <f>Nigeria!C13</f>
        <v>1366504</v>
      </c>
      <c r="H7" s="12">
        <f>Senegal!B13</f>
        <v>0.0383771095821325</v>
      </c>
      <c r="I7" s="19">
        <f>Senegal!C13</f>
        <v>693765</v>
      </c>
    </row>
    <row r="8" spans="1:9">
      <c r="A8" s="13" t="str">
        <f>Switzerland!A14</f>
        <v>net migration rate</v>
      </c>
      <c r="B8" s="10">
        <f>Switzerland!B14</f>
        <v>0.015654314148153</v>
      </c>
      <c r="C8" s="11">
        <f>Switzerland!C14</f>
        <v>139137</v>
      </c>
      <c r="D8" s="12">
        <f>California!B14</f>
        <v>-0.000258177217728755</v>
      </c>
      <c r="E8" s="11">
        <f>California!C14</f>
        <v>-10102</v>
      </c>
      <c r="F8" s="12">
        <f>Nigeria!B14</f>
        <v>-0.000254235726227933</v>
      </c>
      <c r="G8" s="11">
        <f>Nigeria!C14</f>
        <v>-57936</v>
      </c>
      <c r="H8" s="12">
        <f>Senegal!B14</f>
        <v>-0.0234414763530481</v>
      </c>
      <c r="I8" s="19">
        <f>Senegal!C14</f>
        <v>-423765</v>
      </c>
    </row>
    <row r="9" spans="1:9">
      <c r="A9" s="13" t="str">
        <f>Switzerland!A15</f>
        <v>growth rate</v>
      </c>
      <c r="B9" s="10">
        <f>Switzerland!B15</f>
        <v>0.0165771217740408</v>
      </c>
      <c r="C9" s="11">
        <f>Switzerland!C15</f>
        <v>147339</v>
      </c>
      <c r="D9" s="12">
        <f>California!B15</f>
        <v>0.00126456233747959</v>
      </c>
      <c r="E9" s="11">
        <f>California!C15</f>
        <v>49480</v>
      </c>
      <c r="F9" s="12">
        <f>Nigeria!B15</f>
        <v>0.0209627923100889</v>
      </c>
      <c r="G9" s="11">
        <f>Nigeria!C15</f>
        <v>4777064</v>
      </c>
      <c r="H9" s="12">
        <f>Senegal!B15</f>
        <v>0.00250227173747272</v>
      </c>
      <c r="I9" s="19">
        <f>Senegal!C15</f>
        <v>45235</v>
      </c>
    </row>
    <row r="10" ht="15.75" spans="1:9">
      <c r="A10" s="13" t="str">
        <f>Switzerland!A16</f>
        <v>doubling time</v>
      </c>
      <c r="B10" s="14"/>
      <c r="C10" s="15">
        <f>Switzerland!C16</f>
        <v>42.2268720433829</v>
      </c>
      <c r="D10" s="16"/>
      <c r="E10" s="15">
        <f>California!C16</f>
        <v>553.551200485044</v>
      </c>
      <c r="F10" s="16"/>
      <c r="G10" s="15">
        <f>Nigeria!C16</f>
        <v>33.3924979862108</v>
      </c>
      <c r="H10" s="16"/>
      <c r="I10" s="20">
        <f>Senegal!C16</f>
        <v>279.745796396596</v>
      </c>
    </row>
    <row r="11" ht="15.75"/>
  </sheetData>
  <sheetProtection selectLockedCells="1" selectUnlockedCells="1"/>
  <mergeCells count="4">
    <mergeCell ref="B1:C1"/>
    <mergeCell ref="D1:E1"/>
    <mergeCell ref="F1:G1"/>
    <mergeCell ref="H1:I1"/>
  </mergeCells>
  <pageMargins left="0.747916666666667" right="0.747916666666667" top="0.984027777777778" bottom="0.984027777777778" header="0.511805555555556" footer="0.511805555555556"/>
  <pageSetup paperSize="9" firstPageNumber="0" orientation="portrait" useFirstPageNumber="1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Switzerland</vt:lpstr>
      <vt:lpstr>California</vt:lpstr>
      <vt:lpstr>Nigeria</vt:lpstr>
      <vt:lpstr>Senegal</vt:lpstr>
      <vt:lpstr>Comparison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adkoprek</cp:lastModifiedBy>
  <dcterms:created xsi:type="dcterms:W3CDTF">2022-08-05T08:52:00Z</dcterms:created>
  <dcterms:modified xsi:type="dcterms:W3CDTF">2025-08-12T16:38:16Z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