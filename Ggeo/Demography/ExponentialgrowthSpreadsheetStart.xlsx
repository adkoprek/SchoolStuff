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7795" windowHeight="12495" tabRatio="504"/>
  </bookViews>
  <sheets>
    <sheet name="Exponential Growth" sheetId="1" r:id="rId1"/>
    <sheet name="Growth Rates" sheetId="2" r:id="rId2"/>
  </sheets>
  <calcPr calcId="144525"/>
</workbook>
</file>

<file path=xl/sharedStrings.xml><?xml version="1.0" encoding="utf-8"?>
<sst xmlns="http://schemas.openxmlformats.org/spreadsheetml/2006/main" count="11" uniqueCount="11">
  <si>
    <t>time_years</t>
  </si>
  <si>
    <t>Year</t>
  </si>
  <si>
    <t>population_census</t>
  </si>
  <si>
    <t>population_model_low</t>
  </si>
  <si>
    <t>population_model_intermediate</t>
  </si>
  <si>
    <t>population_model_high</t>
  </si>
  <si>
    <t>growth_rate_low</t>
  </si>
  <si>
    <t>growth_rate_intermediate</t>
  </si>
  <si>
    <t>growth_rate_high</t>
  </si>
  <si>
    <t>initial_population</t>
  </si>
  <si>
    <t>annual growth rate (%/Y)</t>
  </si>
</sst>
</file>

<file path=xl/styles.xml><?xml version="1.0" encoding="utf-8"?>
<styleSheet xmlns="http://schemas.openxmlformats.org/spreadsheetml/2006/main">
  <numFmts count="6">
    <numFmt numFmtId="176" formatCode="0.000"/>
    <numFmt numFmtId="177" formatCode="0.00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</numFmts>
  <fonts count="24">
    <font>
      <sz val="10"/>
      <name val="Geneva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2"/>
      <color indexed="10"/>
      <name val="Arial Narrow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15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" fillId="31" borderId="8" applyNumberFormat="0" applyFon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2" borderId="0" xfId="0" applyNumberFormat="1" applyFont="1" applyFill="1" applyAlignment="1">
      <alignment horizontal="center"/>
    </xf>
    <xf numFmtId="177" fontId="2" fillId="2" borderId="0" xfId="0" applyNumberFormat="1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" fontId="3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67310</xdr:colOff>
      <xdr:row>2</xdr:row>
      <xdr:rowOff>164465</xdr:rowOff>
    </xdr:from>
    <xdr:to>
      <xdr:col>5</xdr:col>
      <xdr:colOff>588010</xdr:colOff>
      <xdr:row>12</xdr:row>
      <xdr:rowOff>126365</xdr:rowOff>
    </xdr:to>
    <xdr:pic>
      <xdr:nvPicPr>
        <xdr:cNvPr id="1035" name="Bild 1" descr="Bildschirmfoto 2015-08-26 um 09.27.11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48910" y="735965"/>
          <a:ext cx="214757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zoomScale="150" zoomScaleNormal="150" workbookViewId="0">
      <selection activeCell="E16" sqref="E16"/>
    </sheetView>
  </sheetViews>
  <sheetFormatPr defaultColWidth="11" defaultRowHeight="15"/>
  <cols>
    <col min="1" max="1" width="10.7128205128205" style="7" customWidth="1"/>
    <col min="2" max="2" width="4.13846153846154" style="7" customWidth="1"/>
    <col min="3" max="3" width="13.8564102564103" style="7" customWidth="1"/>
    <col min="4" max="4" width="13.1384615384615" style="7" customWidth="1"/>
    <col min="5" max="5" width="13.1384615384615" style="10" customWidth="1"/>
    <col min="6" max="6" width="17.2871794871795" style="10" customWidth="1"/>
    <col min="7" max="7" width="12.5692307692308" style="10" customWidth="1"/>
    <col min="8" max="8" width="15.5692307692308" style="10" customWidth="1"/>
    <col min="9" max="9" width="13.425641025641" style="11" customWidth="1"/>
    <col min="10" max="10" width="13.425641025641" style="10" customWidth="1"/>
    <col min="11" max="16384" width="10.7128205128205" style="10"/>
  </cols>
  <sheetData>
    <row r="1" s="9" customFormat="1" ht="30" spans="1:10">
      <c r="A1" s="1" t="s">
        <v>0</v>
      </c>
      <c r="B1" s="1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4">
        <f t="shared" ref="A2:A37" si="0">B2-1850</f>
        <v>0</v>
      </c>
      <c r="B2" s="3">
        <v>1850</v>
      </c>
      <c r="C2" s="4">
        <v>2.39274</v>
      </c>
      <c r="D2" s="5"/>
      <c r="E2" s="5"/>
      <c r="F2" s="5"/>
      <c r="G2" s="11"/>
      <c r="H2" s="11"/>
      <c r="J2" s="17"/>
    </row>
    <row r="3" spans="1:10">
      <c r="A3" s="14">
        <f t="shared" si="0"/>
        <v>10</v>
      </c>
      <c r="B3" s="3">
        <v>1860</v>
      </c>
      <c r="C3" s="4">
        <v>2.510494</v>
      </c>
      <c r="D3" s="5"/>
      <c r="E3" s="5"/>
      <c r="F3" s="5"/>
      <c r="G3" s="11"/>
      <c r="H3" s="11"/>
      <c r="J3" s="17"/>
    </row>
    <row r="4" spans="1:10">
      <c r="A4" s="14">
        <f t="shared" si="0"/>
        <v>20</v>
      </c>
      <c r="B4" s="3">
        <v>1870</v>
      </c>
      <c r="C4" s="4">
        <v>2.657614</v>
      </c>
      <c r="D4" s="5"/>
      <c r="E4" s="5"/>
      <c r="F4" s="5"/>
      <c r="G4" s="11"/>
      <c r="H4" s="11"/>
      <c r="J4" s="17"/>
    </row>
    <row r="5" spans="1:10">
      <c r="A5" s="14">
        <f t="shared" si="0"/>
        <v>30</v>
      </c>
      <c r="B5" s="3">
        <v>1880</v>
      </c>
      <c r="C5" s="4">
        <v>2.817307</v>
      </c>
      <c r="D5" s="5"/>
      <c r="E5" s="5"/>
      <c r="F5" s="5"/>
      <c r="G5" s="11"/>
      <c r="H5" s="11"/>
      <c r="J5" s="17"/>
    </row>
    <row r="6" spans="1:10">
      <c r="A6" s="14">
        <f t="shared" si="0"/>
        <v>40</v>
      </c>
      <c r="B6" s="3">
        <v>1890</v>
      </c>
      <c r="C6" s="4">
        <v>2.949577</v>
      </c>
      <c r="D6" s="5"/>
      <c r="E6" s="5"/>
      <c r="F6" s="5"/>
      <c r="G6" s="11"/>
      <c r="H6" s="11"/>
      <c r="J6" s="17"/>
    </row>
    <row r="7" spans="1:10">
      <c r="A7" s="14">
        <f t="shared" si="0"/>
        <v>50</v>
      </c>
      <c r="B7" s="3">
        <v>1900</v>
      </c>
      <c r="C7" s="4">
        <v>3.282407</v>
      </c>
      <c r="D7" s="5"/>
      <c r="E7" s="5"/>
      <c r="F7" s="5"/>
      <c r="G7" s="11"/>
      <c r="H7" s="11"/>
      <c r="J7" s="17"/>
    </row>
    <row r="8" spans="1:10">
      <c r="A8" s="14">
        <f t="shared" si="0"/>
        <v>60</v>
      </c>
      <c r="B8" s="3">
        <v>1910</v>
      </c>
      <c r="C8" s="4">
        <v>3.711868</v>
      </c>
      <c r="D8" s="5"/>
      <c r="E8" s="5"/>
      <c r="F8" s="5"/>
      <c r="G8" s="11"/>
      <c r="H8" s="11"/>
      <c r="J8" s="17"/>
    </row>
    <row r="9" spans="1:10">
      <c r="A9" s="14">
        <f t="shared" si="0"/>
        <v>70</v>
      </c>
      <c r="B9" s="3">
        <v>1920</v>
      </c>
      <c r="C9" s="4">
        <v>3.869481</v>
      </c>
      <c r="D9" s="5"/>
      <c r="E9" s="5"/>
      <c r="F9" s="5"/>
      <c r="G9" s="11"/>
      <c r="H9" s="11"/>
      <c r="J9" s="17"/>
    </row>
    <row r="10" spans="1:10">
      <c r="A10" s="14">
        <f t="shared" si="0"/>
        <v>80</v>
      </c>
      <c r="B10" s="3">
        <v>1930</v>
      </c>
      <c r="C10" s="4">
        <v>4.052557</v>
      </c>
      <c r="D10" s="5"/>
      <c r="E10" s="5"/>
      <c r="F10" s="5"/>
      <c r="G10" s="11"/>
      <c r="H10" s="11"/>
      <c r="J10" s="17"/>
    </row>
    <row r="11" spans="1:10">
      <c r="A11" s="14">
        <f t="shared" si="0"/>
        <v>90</v>
      </c>
      <c r="B11" s="3">
        <v>1940</v>
      </c>
      <c r="C11" s="4">
        <v>4.252902</v>
      </c>
      <c r="D11" s="5"/>
      <c r="E11" s="5"/>
      <c r="F11" s="5"/>
      <c r="G11" s="11"/>
      <c r="H11" s="11"/>
      <c r="J11" s="17"/>
    </row>
    <row r="12" spans="1:10">
      <c r="A12" s="14">
        <f t="shared" si="0"/>
        <v>100</v>
      </c>
      <c r="B12" s="3">
        <v>1950</v>
      </c>
      <c r="C12" s="4">
        <v>4.668</v>
      </c>
      <c r="D12" s="5"/>
      <c r="E12" s="5"/>
      <c r="F12" s="5"/>
      <c r="G12" s="11"/>
      <c r="H12" s="11"/>
      <c r="J12" s="17"/>
    </row>
    <row r="13" spans="1:10">
      <c r="A13" s="14">
        <f t="shared" si="0"/>
        <v>110</v>
      </c>
      <c r="B13" s="3">
        <v>1960</v>
      </c>
      <c r="C13" s="4">
        <v>5.2955</v>
      </c>
      <c r="D13" s="5"/>
      <c r="E13" s="5"/>
      <c r="F13" s="5"/>
      <c r="G13" s="11"/>
      <c r="H13" s="11"/>
      <c r="J13" s="17"/>
    </row>
    <row r="14" spans="1:10">
      <c r="A14" s="14">
        <f t="shared" si="0"/>
        <v>120</v>
      </c>
      <c r="B14" s="3">
        <v>1970</v>
      </c>
      <c r="C14" s="4">
        <v>6.1687</v>
      </c>
      <c r="D14" s="5"/>
      <c r="E14" s="5"/>
      <c r="F14" s="5"/>
      <c r="G14" s="11"/>
      <c r="H14" s="11"/>
      <c r="J14" s="17"/>
    </row>
    <row r="15" spans="1:10">
      <c r="A15" s="14">
        <f t="shared" si="0"/>
        <v>130</v>
      </c>
      <c r="B15" s="3">
        <v>1980</v>
      </c>
      <c r="C15" s="4">
        <v>6.335243</v>
      </c>
      <c r="D15" s="15"/>
      <c r="E15" s="5"/>
      <c r="F15" s="5"/>
      <c r="G15" s="11"/>
      <c r="H15" s="11"/>
      <c r="J15" s="17"/>
    </row>
    <row r="16" spans="1:10">
      <c r="A16" s="14">
        <f t="shared" si="0"/>
        <v>140</v>
      </c>
      <c r="B16" s="3">
        <v>1990</v>
      </c>
      <c r="C16" s="4">
        <v>6.750693</v>
      </c>
      <c r="D16" s="15"/>
      <c r="E16" s="5"/>
      <c r="F16" s="5"/>
      <c r="G16" s="11"/>
      <c r="H16" s="11"/>
      <c r="J16" s="17"/>
    </row>
    <row r="17" spans="1:10">
      <c r="A17" s="14">
        <f t="shared" si="0"/>
        <v>150</v>
      </c>
      <c r="B17" s="3">
        <v>2000</v>
      </c>
      <c r="C17" s="4">
        <v>7.204055</v>
      </c>
      <c r="D17" s="15"/>
      <c r="E17" s="5"/>
      <c r="F17" s="5"/>
      <c r="G17" s="11"/>
      <c r="H17" s="11"/>
      <c r="J17" s="17"/>
    </row>
    <row r="18" spans="1:10">
      <c r="A18" s="14">
        <f t="shared" si="0"/>
        <v>151</v>
      </c>
      <c r="B18" s="3">
        <v>2001</v>
      </c>
      <c r="C18" s="4">
        <v>7.255653</v>
      </c>
      <c r="D18" s="15"/>
      <c r="E18" s="5"/>
      <c r="F18" s="5"/>
      <c r="G18" s="11"/>
      <c r="H18" s="11"/>
      <c r="J18" s="17"/>
    </row>
    <row r="19" spans="1:10">
      <c r="A19" s="14">
        <f t="shared" si="0"/>
        <v>152</v>
      </c>
      <c r="B19" s="3">
        <v>2002</v>
      </c>
      <c r="C19" s="4">
        <v>7.313853</v>
      </c>
      <c r="D19" s="15"/>
      <c r="E19" s="5"/>
      <c r="F19" s="6"/>
      <c r="G19" s="11"/>
      <c r="H19" s="11"/>
      <c r="J19" s="17"/>
    </row>
    <row r="20" spans="1:10">
      <c r="A20" s="14">
        <f t="shared" si="0"/>
        <v>153</v>
      </c>
      <c r="B20" s="3">
        <v>2003</v>
      </c>
      <c r="C20" s="4">
        <v>7.364148</v>
      </c>
      <c r="D20" s="15"/>
      <c r="E20" s="5"/>
      <c r="F20" s="6"/>
      <c r="G20" s="11"/>
      <c r="H20" s="11"/>
      <c r="J20" s="17"/>
    </row>
    <row r="21" spans="1:10">
      <c r="A21" s="14">
        <f t="shared" si="0"/>
        <v>154</v>
      </c>
      <c r="B21" s="3">
        <v>2004</v>
      </c>
      <c r="C21" s="4">
        <v>7.415102</v>
      </c>
      <c r="D21" s="15"/>
      <c r="E21" s="5"/>
      <c r="F21" s="6"/>
      <c r="G21" s="11"/>
      <c r="H21" s="11"/>
      <c r="J21" s="17"/>
    </row>
    <row r="22" spans="1:10">
      <c r="A22" s="14">
        <f t="shared" si="0"/>
        <v>155</v>
      </c>
      <c r="B22" s="3">
        <v>2005</v>
      </c>
      <c r="C22" s="4">
        <v>7.459128</v>
      </c>
      <c r="D22" s="15"/>
      <c r="E22" s="5"/>
      <c r="F22" s="6"/>
      <c r="G22" s="11"/>
      <c r="H22" s="11"/>
      <c r="J22" s="17"/>
    </row>
    <row r="23" spans="1:10">
      <c r="A23" s="14">
        <f t="shared" si="0"/>
        <v>156</v>
      </c>
      <c r="B23" s="3">
        <v>2006</v>
      </c>
      <c r="C23" s="4">
        <v>7.508739</v>
      </c>
      <c r="D23" s="15"/>
      <c r="E23" s="5"/>
      <c r="F23" s="6"/>
      <c r="G23" s="11"/>
      <c r="H23" s="11"/>
      <c r="J23" s="17"/>
    </row>
    <row r="24" spans="1:10">
      <c r="A24" s="14">
        <f t="shared" si="0"/>
        <v>157</v>
      </c>
      <c r="B24" s="3">
        <v>2007</v>
      </c>
      <c r="C24" s="4">
        <v>7.593494</v>
      </c>
      <c r="D24" s="15"/>
      <c r="E24" s="5"/>
      <c r="F24" s="6"/>
      <c r="G24" s="11"/>
      <c r="H24" s="11"/>
      <c r="J24" s="17"/>
    </row>
    <row r="25" spans="1:10">
      <c r="A25" s="14">
        <f t="shared" si="0"/>
        <v>158</v>
      </c>
      <c r="B25" s="3">
        <v>2008</v>
      </c>
      <c r="C25" s="4">
        <v>7.701856</v>
      </c>
      <c r="D25" s="15"/>
      <c r="E25" s="5"/>
      <c r="F25" s="6"/>
      <c r="G25" s="11"/>
      <c r="H25" s="11"/>
      <c r="J25" s="17"/>
    </row>
    <row r="26" spans="1:10">
      <c r="A26" s="14">
        <f t="shared" si="0"/>
        <v>159</v>
      </c>
      <c r="B26" s="3">
        <v>2009</v>
      </c>
      <c r="C26" s="4">
        <v>7.785806</v>
      </c>
      <c r="D26" s="15"/>
      <c r="E26" s="5"/>
      <c r="F26" s="6"/>
      <c r="G26" s="11"/>
      <c r="J26" s="17"/>
    </row>
    <row r="27" spans="1:10">
      <c r="A27" s="14">
        <f t="shared" si="0"/>
        <v>160</v>
      </c>
      <c r="B27" s="3">
        <v>2010</v>
      </c>
      <c r="C27" s="4">
        <v>7.864012</v>
      </c>
      <c r="D27" s="15"/>
      <c r="E27" s="5"/>
      <c r="G27" s="11"/>
      <c r="J27" s="17"/>
    </row>
    <row r="28" spans="1:10">
      <c r="A28" s="14">
        <f t="shared" si="0"/>
        <v>161</v>
      </c>
      <c r="B28" s="3">
        <v>2011</v>
      </c>
      <c r="C28" s="4">
        <v>7.954662</v>
      </c>
      <c r="D28" s="15"/>
      <c r="E28" s="5"/>
      <c r="J28" s="17"/>
    </row>
    <row r="29" spans="1:10">
      <c r="A29" s="14">
        <f t="shared" si="0"/>
        <v>162</v>
      </c>
      <c r="B29" s="3">
        <v>2012</v>
      </c>
      <c r="C29" s="4">
        <v>8.03906</v>
      </c>
      <c r="D29" s="15"/>
      <c r="E29" s="5"/>
      <c r="J29" s="17"/>
    </row>
    <row r="30" spans="1:10">
      <c r="A30" s="14">
        <f t="shared" si="0"/>
        <v>163</v>
      </c>
      <c r="B30" s="3">
        <v>2013</v>
      </c>
      <c r="C30" s="4">
        <v>8.139631</v>
      </c>
      <c r="D30" s="15"/>
      <c r="E30" s="5"/>
      <c r="J30" s="17"/>
    </row>
    <row r="31" spans="1:10">
      <c r="A31" s="14">
        <f t="shared" si="0"/>
        <v>164</v>
      </c>
      <c r="B31" s="3">
        <v>2014</v>
      </c>
      <c r="C31" s="4">
        <v>8.237666</v>
      </c>
      <c r="D31" s="15"/>
      <c r="E31" s="5"/>
      <c r="J31" s="17"/>
    </row>
    <row r="32" spans="1:10">
      <c r="A32" s="14">
        <f t="shared" si="0"/>
        <v>165</v>
      </c>
      <c r="B32" s="3">
        <v>2015</v>
      </c>
      <c r="C32" s="4">
        <v>8.327126</v>
      </c>
      <c r="D32" s="15"/>
      <c r="E32" s="5"/>
      <c r="J32" s="17"/>
    </row>
    <row r="33" spans="1:10">
      <c r="A33" s="14">
        <f t="shared" si="0"/>
        <v>166</v>
      </c>
      <c r="B33" s="3">
        <v>2016</v>
      </c>
      <c r="C33" s="4">
        <v>8.41955</v>
      </c>
      <c r="D33" s="15"/>
      <c r="E33" s="5"/>
      <c r="J33" s="17"/>
    </row>
    <row r="34" spans="1:10">
      <c r="A34" s="14">
        <f t="shared" si="0"/>
        <v>167</v>
      </c>
      <c r="B34" s="3">
        <v>2017</v>
      </c>
      <c r="C34" s="4">
        <v>8.48413</v>
      </c>
      <c r="D34" s="15"/>
      <c r="E34" s="5"/>
      <c r="J34" s="17"/>
    </row>
    <row r="35" spans="1:10">
      <c r="A35" s="14">
        <f t="shared" si="0"/>
        <v>168</v>
      </c>
      <c r="B35" s="3">
        <v>2018</v>
      </c>
      <c r="C35" s="4">
        <v>8.544527</v>
      </c>
      <c r="D35" s="15"/>
      <c r="E35" s="5"/>
      <c r="J35" s="17"/>
    </row>
    <row r="36" spans="1:10">
      <c r="A36" s="14">
        <f t="shared" si="0"/>
        <v>169</v>
      </c>
      <c r="B36" s="3">
        <v>2019</v>
      </c>
      <c r="C36" s="4">
        <v>8.606033</v>
      </c>
      <c r="D36" s="15"/>
      <c r="E36" s="5"/>
      <c r="J36" s="17"/>
    </row>
    <row r="37" spans="1:5">
      <c r="A37" s="14">
        <f t="shared" si="0"/>
        <v>170</v>
      </c>
      <c r="B37" s="3">
        <v>2020</v>
      </c>
      <c r="C37" s="4">
        <v>8.6703</v>
      </c>
      <c r="D37" s="15"/>
      <c r="E37" s="5"/>
    </row>
    <row r="38" spans="1:5">
      <c r="A38" s="14">
        <v>171</v>
      </c>
      <c r="B38" s="3">
        <v>2021</v>
      </c>
      <c r="C38" s="4">
        <v>8.738791</v>
      </c>
      <c r="D38" s="15"/>
      <c r="E38" s="5"/>
    </row>
    <row r="39" spans="1:3">
      <c r="A39" s="14">
        <v>172</v>
      </c>
      <c r="B39" s="3">
        <v>2022</v>
      </c>
      <c r="C39" s="4">
        <v>8.8127</v>
      </c>
    </row>
    <row r="40" spans="1:3">
      <c r="A40" s="14">
        <v>173</v>
      </c>
      <c r="B40" s="3">
        <v>2023</v>
      </c>
      <c r="C40" s="4">
        <v>8.9608</v>
      </c>
    </row>
    <row r="41" spans="1:3">
      <c r="A41" s="14">
        <v>174</v>
      </c>
      <c r="B41" s="3">
        <v>2024</v>
      </c>
      <c r="C41" s="4">
        <v>9.0489</v>
      </c>
    </row>
    <row r="42" spans="1:2">
      <c r="A42" s="14">
        <f>B42-1850</f>
        <v>180</v>
      </c>
      <c r="B42" s="16">
        <v>2030</v>
      </c>
    </row>
    <row r="43" spans="1:2">
      <c r="A43" s="14">
        <f>B43-1850</f>
        <v>190</v>
      </c>
      <c r="B43" s="16">
        <v>2040</v>
      </c>
    </row>
    <row r="44" spans="1:2">
      <c r="A44" s="14">
        <f>B44-1850</f>
        <v>200</v>
      </c>
      <c r="B44" s="16">
        <v>2050</v>
      </c>
    </row>
  </sheetData>
  <sheetProtection selectLockedCells="1" selectUnlockedCells="1"/>
  <printOptions gridLines="1"/>
  <pageMargins left="0.747916666666667" right="0.55" top="0.984027777777778" bottom="0.984027777777778" header="0.492361111111111" footer="0.492361111111111"/>
  <pageSetup paperSize="1" scale="95" firstPageNumber="0" orientation="landscape" useFirstPageNumber="1" horizontalDpi="300" verticalDpi="300"/>
  <headerFooter alignWithMargins="0">
    <oddHeader>&amp;C&amp;F</oddHeader>
    <oddFooter>&amp;CSeite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zoomScale="130" zoomScaleNormal="130" workbookViewId="0">
      <selection activeCell="F38" sqref="F38"/>
    </sheetView>
  </sheetViews>
  <sheetFormatPr defaultColWidth="11" defaultRowHeight="14.25" outlineLevelCol="3"/>
  <cols>
    <col min="1" max="1" width="6.13846153846154" customWidth="1"/>
    <col min="2" max="2" width="5.56923076923077" customWidth="1"/>
    <col min="3" max="3" width="9.71282051282051" customWidth="1"/>
  </cols>
  <sheetData>
    <row r="1" ht="30" spans="1:4">
      <c r="A1" s="1" t="str">
        <f>'Exponential Growth'!A1</f>
        <v>time_years</v>
      </c>
      <c r="B1" s="1" t="str">
        <f>'Exponential Growth'!B1</f>
        <v>Year</v>
      </c>
      <c r="C1" s="1" t="str">
        <f>'Exponential Growth'!C1</f>
        <v>population_census</v>
      </c>
      <c r="D1" s="2" t="s">
        <v>10</v>
      </c>
    </row>
    <row r="2" ht="15" spans="1:4">
      <c r="A2" s="1">
        <f>B2-1850</f>
        <v>0</v>
      </c>
      <c r="B2" s="3">
        <f>'Exponential Growth'!B2</f>
        <v>1850</v>
      </c>
      <c r="C2" s="4">
        <f>'Exponential Growth'!C2</f>
        <v>2.39274</v>
      </c>
      <c r="D2" s="5"/>
    </row>
    <row r="3" ht="15" spans="1:4">
      <c r="A3" s="1">
        <f t="shared" ref="A3:A39" si="0">B3-1850</f>
        <v>10</v>
      </c>
      <c r="B3" s="3">
        <f>'Exponential Growth'!B3</f>
        <v>1860</v>
      </c>
      <c r="C3" s="4">
        <f>'Exponential Growth'!C3</f>
        <v>2.510494</v>
      </c>
      <c r="D3" s="5"/>
    </row>
    <row r="4" ht="15" spans="1:4">
      <c r="A4" s="1">
        <f t="shared" si="0"/>
        <v>20</v>
      </c>
      <c r="B4" s="3">
        <f>'Exponential Growth'!B4</f>
        <v>1870</v>
      </c>
      <c r="C4" s="4">
        <f>'Exponential Growth'!C4</f>
        <v>2.657614</v>
      </c>
      <c r="D4" s="5"/>
    </row>
    <row r="5" ht="15" spans="1:4">
      <c r="A5" s="1">
        <f t="shared" si="0"/>
        <v>30</v>
      </c>
      <c r="B5" s="3">
        <f>'Exponential Growth'!B5</f>
        <v>1880</v>
      </c>
      <c r="C5" s="4">
        <f>'Exponential Growth'!C5</f>
        <v>2.817307</v>
      </c>
      <c r="D5" s="5"/>
    </row>
    <row r="6" ht="15" spans="1:4">
      <c r="A6" s="1">
        <f t="shared" si="0"/>
        <v>40</v>
      </c>
      <c r="B6" s="3">
        <f>'Exponential Growth'!B6</f>
        <v>1890</v>
      </c>
      <c r="C6" s="4">
        <f>'Exponential Growth'!C6</f>
        <v>2.949577</v>
      </c>
      <c r="D6" s="5"/>
    </row>
    <row r="7" ht="15" spans="1:4">
      <c r="A7" s="1">
        <f t="shared" si="0"/>
        <v>50</v>
      </c>
      <c r="B7" s="3">
        <f>'Exponential Growth'!B7</f>
        <v>1900</v>
      </c>
      <c r="C7" s="4">
        <f>'Exponential Growth'!C7</f>
        <v>3.282407</v>
      </c>
      <c r="D7" s="5"/>
    </row>
    <row r="8" ht="15" spans="1:4">
      <c r="A8" s="1">
        <f t="shared" si="0"/>
        <v>60</v>
      </c>
      <c r="B8" s="3">
        <f>'Exponential Growth'!B8</f>
        <v>1910</v>
      </c>
      <c r="C8" s="4">
        <f>'Exponential Growth'!C8</f>
        <v>3.711868</v>
      </c>
      <c r="D8" s="5"/>
    </row>
    <row r="9" ht="15" spans="1:4">
      <c r="A9" s="1">
        <f t="shared" si="0"/>
        <v>70</v>
      </c>
      <c r="B9" s="3">
        <f>'Exponential Growth'!B9</f>
        <v>1920</v>
      </c>
      <c r="C9" s="4">
        <f>'Exponential Growth'!C9</f>
        <v>3.869481</v>
      </c>
      <c r="D9" s="5"/>
    </row>
    <row r="10" ht="15" spans="1:4">
      <c r="A10" s="1">
        <f t="shared" si="0"/>
        <v>80</v>
      </c>
      <c r="B10" s="3">
        <f>'Exponential Growth'!B10</f>
        <v>1930</v>
      </c>
      <c r="C10" s="4">
        <f>'Exponential Growth'!C10</f>
        <v>4.052557</v>
      </c>
      <c r="D10" s="5"/>
    </row>
    <row r="11" ht="15" spans="1:4">
      <c r="A11" s="1">
        <f t="shared" si="0"/>
        <v>90</v>
      </c>
      <c r="B11" s="3">
        <f>'Exponential Growth'!B11</f>
        <v>1940</v>
      </c>
      <c r="C11" s="4">
        <f>'Exponential Growth'!C11</f>
        <v>4.252902</v>
      </c>
      <c r="D11" s="5"/>
    </row>
    <row r="12" ht="15" spans="1:4">
      <c r="A12" s="1">
        <f t="shared" si="0"/>
        <v>100</v>
      </c>
      <c r="B12" s="3">
        <f>'Exponential Growth'!B12</f>
        <v>1950</v>
      </c>
      <c r="C12" s="4">
        <f>'Exponential Growth'!C12</f>
        <v>4.668</v>
      </c>
      <c r="D12" s="5"/>
    </row>
    <row r="13" ht="15" spans="1:4">
      <c r="A13" s="1">
        <f t="shared" si="0"/>
        <v>110</v>
      </c>
      <c r="B13" s="3">
        <f>'Exponential Growth'!B13</f>
        <v>1960</v>
      </c>
      <c r="C13" s="4">
        <f>'Exponential Growth'!C13</f>
        <v>5.2955</v>
      </c>
      <c r="D13" s="5"/>
    </row>
    <row r="14" ht="15" spans="1:4">
      <c r="A14" s="1">
        <f t="shared" si="0"/>
        <v>120</v>
      </c>
      <c r="B14" s="3">
        <f>'Exponential Growth'!B14</f>
        <v>1970</v>
      </c>
      <c r="C14" s="4">
        <f>'Exponential Growth'!C14</f>
        <v>6.1687</v>
      </c>
      <c r="D14" s="5"/>
    </row>
    <row r="15" ht="15" spans="1:4">
      <c r="A15" s="1">
        <f t="shared" si="0"/>
        <v>130</v>
      </c>
      <c r="B15" s="3">
        <f>'Exponential Growth'!B15</f>
        <v>1980</v>
      </c>
      <c r="C15" s="4">
        <f>'Exponential Growth'!C15</f>
        <v>6.335243</v>
      </c>
      <c r="D15" s="5"/>
    </row>
    <row r="16" ht="15" spans="1:4">
      <c r="A16" s="1">
        <f t="shared" si="0"/>
        <v>140</v>
      </c>
      <c r="B16" s="3">
        <f>'Exponential Growth'!B16</f>
        <v>1990</v>
      </c>
      <c r="C16" s="4">
        <f>'Exponential Growth'!C16</f>
        <v>6.750693</v>
      </c>
      <c r="D16" s="5"/>
    </row>
    <row r="17" ht="15" spans="1:4">
      <c r="A17" s="1">
        <f t="shared" si="0"/>
        <v>150</v>
      </c>
      <c r="B17" s="3">
        <f>'Exponential Growth'!B17</f>
        <v>2000</v>
      </c>
      <c r="C17" s="4">
        <f>'Exponential Growth'!C17</f>
        <v>7.204055</v>
      </c>
      <c r="D17" s="5"/>
    </row>
    <row r="18" ht="15" spans="1:4">
      <c r="A18" s="1">
        <f t="shared" si="0"/>
        <v>151</v>
      </c>
      <c r="B18" s="3">
        <f>'Exponential Growth'!B18</f>
        <v>2001</v>
      </c>
      <c r="C18" s="4">
        <f>'Exponential Growth'!C18</f>
        <v>7.255653</v>
      </c>
      <c r="D18" s="5"/>
    </row>
    <row r="19" ht="15" spans="1:4">
      <c r="A19" s="1">
        <f t="shared" si="0"/>
        <v>152</v>
      </c>
      <c r="B19" s="3">
        <f>'Exponential Growth'!B19</f>
        <v>2002</v>
      </c>
      <c r="C19" s="4">
        <f>'Exponential Growth'!C19</f>
        <v>7.313853</v>
      </c>
      <c r="D19" s="5"/>
    </row>
    <row r="20" ht="15" spans="1:4">
      <c r="A20" s="1">
        <f t="shared" si="0"/>
        <v>153</v>
      </c>
      <c r="B20" s="3">
        <f>'Exponential Growth'!B20</f>
        <v>2003</v>
      </c>
      <c r="C20" s="4">
        <f>'Exponential Growth'!C20</f>
        <v>7.364148</v>
      </c>
      <c r="D20" s="5"/>
    </row>
    <row r="21" ht="15" spans="1:4">
      <c r="A21" s="1">
        <f t="shared" si="0"/>
        <v>154</v>
      </c>
      <c r="B21" s="3">
        <f>'Exponential Growth'!B21</f>
        <v>2004</v>
      </c>
      <c r="C21" s="4">
        <f>'Exponential Growth'!C21</f>
        <v>7.415102</v>
      </c>
      <c r="D21" s="5"/>
    </row>
    <row r="22" ht="15" spans="1:4">
      <c r="A22" s="1">
        <f t="shared" si="0"/>
        <v>155</v>
      </c>
      <c r="B22" s="3">
        <f>'Exponential Growth'!B22</f>
        <v>2005</v>
      </c>
      <c r="C22" s="4">
        <f>'Exponential Growth'!C22</f>
        <v>7.459128</v>
      </c>
      <c r="D22" s="5"/>
    </row>
    <row r="23" ht="15" spans="1:4">
      <c r="A23" s="1">
        <f t="shared" si="0"/>
        <v>156</v>
      </c>
      <c r="B23" s="3">
        <f>'Exponential Growth'!B23</f>
        <v>2006</v>
      </c>
      <c r="C23" s="4">
        <f>'Exponential Growth'!C23</f>
        <v>7.508739</v>
      </c>
      <c r="D23" s="5"/>
    </row>
    <row r="24" ht="15" spans="1:4">
      <c r="A24" s="1">
        <f t="shared" si="0"/>
        <v>157</v>
      </c>
      <c r="B24" s="3">
        <f>'Exponential Growth'!B24</f>
        <v>2007</v>
      </c>
      <c r="C24" s="4">
        <f>'Exponential Growth'!C24</f>
        <v>7.593494</v>
      </c>
      <c r="D24" s="6"/>
    </row>
    <row r="25" ht="15" spans="1:4">
      <c r="A25" s="1">
        <f t="shared" si="0"/>
        <v>158</v>
      </c>
      <c r="B25" s="3">
        <f>'Exponential Growth'!B25</f>
        <v>2008</v>
      </c>
      <c r="C25" s="4">
        <f>'Exponential Growth'!C25</f>
        <v>7.701856</v>
      </c>
      <c r="D25" s="6"/>
    </row>
    <row r="26" ht="15" spans="1:4">
      <c r="A26" s="1">
        <f t="shared" si="0"/>
        <v>159</v>
      </c>
      <c r="B26" s="3">
        <f>'Exponential Growth'!B26</f>
        <v>2009</v>
      </c>
      <c r="C26" s="4">
        <f>'Exponential Growth'!C26</f>
        <v>7.785806</v>
      </c>
      <c r="D26" s="7"/>
    </row>
    <row r="27" ht="15" spans="1:3">
      <c r="A27" s="1">
        <f t="shared" si="0"/>
        <v>160</v>
      </c>
      <c r="B27" s="3">
        <f>'Exponential Growth'!B27</f>
        <v>2010</v>
      </c>
      <c r="C27" s="4">
        <f>'Exponential Growth'!C27</f>
        <v>7.864012</v>
      </c>
    </row>
    <row r="28" ht="15" spans="1:3">
      <c r="A28" s="1">
        <f t="shared" si="0"/>
        <v>161</v>
      </c>
      <c r="B28" s="3">
        <f>'Exponential Growth'!B28</f>
        <v>2011</v>
      </c>
      <c r="C28" s="4">
        <f>'Exponential Growth'!C28</f>
        <v>7.954662</v>
      </c>
    </row>
    <row r="29" ht="15" spans="1:3">
      <c r="A29" s="1">
        <f t="shared" si="0"/>
        <v>162</v>
      </c>
      <c r="B29" s="3">
        <f>'Exponential Growth'!B29</f>
        <v>2012</v>
      </c>
      <c r="C29" s="4">
        <f>'Exponential Growth'!C29</f>
        <v>8.03906</v>
      </c>
    </row>
    <row r="30" ht="15" spans="1:3">
      <c r="A30" s="1">
        <f t="shared" si="0"/>
        <v>163</v>
      </c>
      <c r="B30" s="3">
        <f>'Exponential Growth'!B30</f>
        <v>2013</v>
      </c>
      <c r="C30" s="4">
        <f>'Exponential Growth'!C30</f>
        <v>8.139631</v>
      </c>
    </row>
    <row r="31" ht="15" spans="1:3">
      <c r="A31" s="1">
        <f t="shared" si="0"/>
        <v>164</v>
      </c>
      <c r="B31" s="3">
        <f>'Exponential Growth'!B31</f>
        <v>2014</v>
      </c>
      <c r="C31" s="4">
        <f>'Exponential Growth'!C31</f>
        <v>8.237666</v>
      </c>
    </row>
    <row r="32" ht="15" spans="1:3">
      <c r="A32" s="1">
        <f t="shared" si="0"/>
        <v>165</v>
      </c>
      <c r="B32" s="3">
        <f>'Exponential Growth'!B32</f>
        <v>2015</v>
      </c>
      <c r="C32" s="4">
        <f>'Exponential Growth'!C32</f>
        <v>8.327126</v>
      </c>
    </row>
    <row r="33" ht="15" spans="1:3">
      <c r="A33" s="1">
        <f t="shared" si="0"/>
        <v>166</v>
      </c>
      <c r="B33" s="3">
        <f>'Exponential Growth'!B33</f>
        <v>2016</v>
      </c>
      <c r="C33" s="4">
        <f>'Exponential Growth'!C33</f>
        <v>8.41955</v>
      </c>
    </row>
    <row r="34" ht="15" spans="1:3">
      <c r="A34" s="1">
        <f t="shared" si="0"/>
        <v>167</v>
      </c>
      <c r="B34" s="3">
        <f>'Exponential Growth'!B34</f>
        <v>2017</v>
      </c>
      <c r="C34" s="4">
        <f>'Exponential Growth'!C34</f>
        <v>8.48413</v>
      </c>
    </row>
    <row r="35" ht="15" spans="1:3">
      <c r="A35" s="1">
        <f t="shared" si="0"/>
        <v>168</v>
      </c>
      <c r="B35" s="3">
        <f>'Exponential Growth'!B35</f>
        <v>2018</v>
      </c>
      <c r="C35" s="4">
        <f>'Exponential Growth'!C35</f>
        <v>8.544527</v>
      </c>
    </row>
    <row r="36" ht="15" spans="1:3">
      <c r="A36" s="1">
        <f t="shared" si="0"/>
        <v>169</v>
      </c>
      <c r="B36" s="3">
        <f>'Exponential Growth'!B36</f>
        <v>2019</v>
      </c>
      <c r="C36" s="4">
        <f>'Exponential Growth'!C36</f>
        <v>8.606033</v>
      </c>
    </row>
    <row r="37" ht="15" spans="1:3">
      <c r="A37" s="1">
        <f t="shared" si="0"/>
        <v>170</v>
      </c>
      <c r="B37" s="3">
        <f>'Exponential Growth'!B37</f>
        <v>2020</v>
      </c>
      <c r="C37" s="4">
        <f>'Exponential Growth'!C37</f>
        <v>8.6703</v>
      </c>
    </row>
    <row r="38" ht="15" spans="1:3">
      <c r="A38" s="1">
        <f t="shared" si="0"/>
        <v>171</v>
      </c>
      <c r="B38" s="3">
        <f>'Exponential Growth'!B38</f>
        <v>2021</v>
      </c>
      <c r="C38" s="4">
        <f>'Exponential Growth'!C38</f>
        <v>8.738791</v>
      </c>
    </row>
    <row r="39" ht="15" spans="1:3">
      <c r="A39" s="1">
        <f t="shared" si="0"/>
        <v>172</v>
      </c>
      <c r="B39" s="3">
        <f>'Exponential Growth'!B39</f>
        <v>2022</v>
      </c>
      <c r="C39" s="4">
        <f>'Exponential Growth'!C39</f>
        <v>8.8127</v>
      </c>
    </row>
    <row r="40" ht="15" spans="1:3">
      <c r="A40" s="8">
        <v>173</v>
      </c>
      <c r="B40" s="3">
        <v>2023</v>
      </c>
      <c r="C40" s="4">
        <v>8.9608</v>
      </c>
    </row>
    <row r="41" ht="15" spans="1:3">
      <c r="A41" s="8">
        <v>174</v>
      </c>
      <c r="B41" s="3">
        <v>2024</v>
      </c>
      <c r="C41" s="4">
        <v>9.0489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Exponential Growth</vt:lpstr>
      <vt:lpstr>Growth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adkoprek</cp:lastModifiedBy>
  <dcterms:created xsi:type="dcterms:W3CDTF">2019-08-04T15:43:00Z</dcterms:created>
  <dcterms:modified xsi:type="dcterms:W3CDTF">2025-08-12T16:33:33Z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